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ИТ\2 семестр\"/>
    </mc:Choice>
  </mc:AlternateContent>
  <xr:revisionPtr revIDLastSave="0" documentId="13_ncr:1_{55827C3D-AA33-4E9B-9567-F3E33BEE4D18}" xr6:coauthVersionLast="47" xr6:coauthVersionMax="47" xr10:uidLastSave="{00000000-0000-0000-0000-000000000000}"/>
  <bookViews>
    <workbookView xWindow="-12600" yWindow="2325" windowWidth="21600" windowHeight="11385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9" i="2" l="1"/>
  <c r="B56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29" i="2"/>
  <c r="E30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29" i="2"/>
  <c r="D30" i="2"/>
  <c r="D31" i="2"/>
  <c r="E31" i="2" s="1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29" i="2"/>
  <c r="B21" i="2"/>
  <c r="B22" i="2" s="1"/>
  <c r="B16" i="2"/>
  <c r="B17" i="2" s="1"/>
  <c r="B13" i="2"/>
  <c r="B9" i="2"/>
  <c r="A6" i="2"/>
  <c r="B6" i="2" s="1"/>
  <c r="D16" i="1"/>
  <c r="D17" i="1"/>
  <c r="D18" i="1"/>
  <c r="D19" i="1"/>
  <c r="D15" i="1"/>
  <c r="C4" i="1"/>
  <c r="B4" i="1"/>
  <c r="B7" i="1" s="1"/>
  <c r="B3" i="1"/>
  <c r="C3" i="1" s="1"/>
  <c r="B26" i="2" l="1"/>
  <c r="C26" i="2" s="1"/>
  <c r="B23" i="2"/>
  <c r="C23" i="2" s="1"/>
  <c r="B25" i="2"/>
  <c r="C25" i="2" s="1"/>
  <c r="B24" i="2"/>
  <c r="C24" i="2" s="1"/>
  <c r="B18" i="2"/>
  <c r="C19" i="1"/>
  <c r="C18" i="1"/>
  <c r="C17" i="1"/>
  <c r="C16" i="1"/>
  <c r="C15" i="1"/>
  <c r="C2" i="1"/>
  <c r="B13" i="1"/>
  <c r="B12" i="1"/>
  <c r="B11" i="1"/>
  <c r="B8" i="1"/>
</calcChain>
</file>

<file path=xl/sharedStrings.xml><?xml version="1.0" encoding="utf-8"?>
<sst xmlns="http://schemas.openxmlformats.org/spreadsheetml/2006/main" count="62" uniqueCount="59">
  <si>
    <t>Функции Дата и время</t>
  </si>
  <si>
    <t>Начало работы</t>
  </si>
  <si>
    <t>Сиситема (текущая) дата и время</t>
  </si>
  <si>
    <t xml:space="preserve">Сегодня </t>
  </si>
  <si>
    <t>Конец месяца</t>
  </si>
  <si>
    <t>Конец года</t>
  </si>
  <si>
    <t>Осталось до конца месяца</t>
  </si>
  <si>
    <t>Осталось до конца года</t>
  </si>
  <si>
    <t>День рождения</t>
  </si>
  <si>
    <t>Прожил дней</t>
  </si>
  <si>
    <t>Сегодня + 100 дней</t>
  </si>
  <si>
    <t>Сегодня + 365 дней</t>
  </si>
  <si>
    <t>Михайлова Мария Олеговна</t>
  </si>
  <si>
    <t>Титов Тимофей Михайлович</t>
  </si>
  <si>
    <t>Петрова Мария Тимофеевна</t>
  </si>
  <si>
    <t>Скворцова Александра Ильинична</t>
  </si>
  <si>
    <t>Иванова Дарья Александровна</t>
  </si>
  <si>
    <t>Введите дату:</t>
  </si>
  <si>
    <t>Дата за 200 дней до указанной:</t>
  </si>
  <si>
    <t>Между ними:</t>
  </si>
  <si>
    <t>Прожил:</t>
  </si>
  <si>
    <t>Дата*2</t>
  </si>
  <si>
    <t>Дата*3</t>
  </si>
  <si>
    <t>Дата*4</t>
  </si>
  <si>
    <t>Дата*5</t>
  </si>
  <si>
    <t>№</t>
  </si>
  <si>
    <t>Фамилия, имя</t>
  </si>
  <si>
    <t>Азаров павел</t>
  </si>
  <si>
    <t>Ющенко Мария</t>
  </si>
  <si>
    <t>Дата Рождения</t>
  </si>
  <si>
    <t>Харитонова Александра</t>
  </si>
  <si>
    <t>Ульянов Григорий</t>
  </si>
  <si>
    <t>Тарасова Ангелина</t>
  </si>
  <si>
    <t>Никитин Степан</t>
  </si>
  <si>
    <t>Самойлова Мирослава</t>
  </si>
  <si>
    <t>Панов Владислав</t>
  </si>
  <si>
    <t>Новиков Лев</t>
  </si>
  <si>
    <t>Зуева Амина</t>
  </si>
  <si>
    <t>Давыдов Максим</t>
  </si>
  <si>
    <t>Захарова Людмила</t>
  </si>
  <si>
    <t>Нефедов Никита</t>
  </si>
  <si>
    <t>Соболев Георгий</t>
  </si>
  <si>
    <t>Попова Майя</t>
  </si>
  <si>
    <t>Гущин Даниил</t>
  </si>
  <si>
    <t>Тарасов Максим</t>
  </si>
  <si>
    <t>Аксенов Юрий</t>
  </si>
  <si>
    <t>Толкачева Мирослава</t>
  </si>
  <si>
    <t>Ларина Николь</t>
  </si>
  <si>
    <t>Попов Дмитрий</t>
  </si>
  <si>
    <t>Харитонова Мирослава</t>
  </si>
  <si>
    <t>Соловьев Владимир</t>
  </si>
  <si>
    <t>Белов Максим</t>
  </si>
  <si>
    <t>Блинов Данила</t>
  </si>
  <si>
    <t>Дата</t>
  </si>
  <si>
    <t>За 5 месяцев</t>
  </si>
  <si>
    <t>N</t>
  </si>
  <si>
    <t>M</t>
  </si>
  <si>
    <t>L</t>
  </si>
  <si>
    <t>Через NML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</si>
</sst>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₽&quot;_-;\-* #,##0.00\ &quot;₽&quot;_-;_-* &quot;-&quot;??\ &quot;₽&quot;_-;_-@_-"/>
    <numFmt numFmtId="164" formatCode="[$-F800]dddd\,\ mmmm\ dd\,\ yyyy"/>
    <numFmt numFmtId="165" formatCode="[$-419]d\ mmm;@"/>
    <numFmt numFmtId="166" formatCode="[$-419]d\-mmm\-yyyy;@"/>
    <numFmt numFmtId="167" formatCode="[$-419]d\ mmm\ 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22" fontId="0" fillId="0" borderId="1" xfId="0" applyNumberFormat="1" applyBorder="1"/>
    <xf numFmtId="46" fontId="0" fillId="0" borderId="1" xfId="0" applyNumberFormat="1" applyBorder="1"/>
    <xf numFmtId="14" fontId="0" fillId="0" borderId="1" xfId="0" applyNumberFormat="1" applyBorder="1"/>
    <xf numFmtId="166" fontId="0" fillId="0" borderId="1" xfId="0" applyNumberFormat="1" applyBorder="1"/>
    <xf numFmtId="165" fontId="0" fillId="0" borderId="1" xfId="0" applyNumberFormat="1" applyBorder="1"/>
    <xf numFmtId="164" fontId="0" fillId="0" borderId="1" xfId="0" applyNumberFormat="1" applyBorder="1"/>
    <xf numFmtId="1" fontId="0" fillId="0" borderId="1" xfId="0" applyNumberFormat="1" applyBorder="1"/>
    <xf numFmtId="3" fontId="0" fillId="0" borderId="1" xfId="0" applyNumberFormat="1" applyBorder="1"/>
    <xf numFmtId="14" fontId="0" fillId="0" borderId="1" xfId="0" applyNumberFormat="1" applyBorder="1" applyAlignment="1"/>
    <xf numFmtId="0" fontId="0" fillId="0" borderId="1" xfId="0" applyBorder="1" applyAlignment="1">
      <alignment horizontal="center"/>
    </xf>
    <xf numFmtId="0" fontId="0" fillId="0" borderId="1" xfId="0" applyBorder="1" applyAlignment="1"/>
    <xf numFmtId="14" fontId="0" fillId="0" borderId="1" xfId="0" applyNumberFormat="1" applyBorder="1" applyAlignment="1">
      <alignment horizontal="right"/>
    </xf>
    <xf numFmtId="167" fontId="0" fillId="0" borderId="1" xfId="0" applyNumberFormat="1" applyBorder="1"/>
    <xf numFmtId="12" fontId="0" fillId="0" borderId="1" xfId="1" applyNumberFormat="1" applyFont="1" applyBorder="1" applyAlignment="1">
      <alignment horizontal="left" vertical="top"/>
    </xf>
    <xf numFmtId="1" fontId="0" fillId="0" borderId="1" xfId="0" applyNumberFormat="1" applyBorder="1" applyAlignment="1">
      <alignment horizontal="left" vertical="top"/>
    </xf>
    <xf numFmtId="0" fontId="0" fillId="0" borderId="1" xfId="0" applyNumberFormat="1" applyBorder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>
      <selection activeCell="D4" sqref="D4"/>
    </sheetView>
  </sheetViews>
  <sheetFormatPr defaultRowHeight="15" x14ac:dyDescent="0.25"/>
  <cols>
    <col min="1" max="1" width="32" bestFit="1" customWidth="1"/>
    <col min="2" max="2" width="15.28515625" bestFit="1" customWidth="1"/>
    <col min="3" max="3" width="17.42578125" bestFit="1" customWidth="1"/>
  </cols>
  <sheetData>
    <row r="1" spans="1:4" x14ac:dyDescent="0.25">
      <c r="A1" s="11" t="s">
        <v>0</v>
      </c>
      <c r="B1" s="11"/>
      <c r="C1" s="11"/>
    </row>
    <row r="2" spans="1:4" x14ac:dyDescent="0.25">
      <c r="A2" s="1" t="s">
        <v>1</v>
      </c>
      <c r="B2" s="2">
        <v>45363.463888888888</v>
      </c>
      <c r="C2" s="3">
        <f ca="1">B3-B2</f>
        <v>0.10509675926005002</v>
      </c>
    </row>
    <row r="3" spans="1:4" x14ac:dyDescent="0.25">
      <c r="A3" s="1" t="s">
        <v>2</v>
      </c>
      <c r="B3" s="2">
        <f ca="1">NOW()</f>
        <v>45363.568985648148</v>
      </c>
      <c r="C3" s="1">
        <f ca="1">SECOND(B3)</f>
        <v>20</v>
      </c>
    </row>
    <row r="4" spans="1:4" x14ac:dyDescent="0.25">
      <c r="A4" s="1" t="s">
        <v>3</v>
      </c>
      <c r="B4" s="4">
        <f ca="1">TODAY()</f>
        <v>45363</v>
      </c>
      <c r="C4" s="5">
        <f ca="1">TODAY()</f>
        <v>45363</v>
      </c>
    </row>
    <row r="5" spans="1:4" x14ac:dyDescent="0.25">
      <c r="A5" s="1" t="s">
        <v>4</v>
      </c>
      <c r="B5" s="4">
        <v>45382</v>
      </c>
      <c r="C5" s="6">
        <v>45382</v>
      </c>
    </row>
    <row r="6" spans="1:4" x14ac:dyDescent="0.25">
      <c r="A6" s="1" t="s">
        <v>5</v>
      </c>
      <c r="B6" s="4">
        <v>45657</v>
      </c>
      <c r="C6" s="7">
        <v>45657</v>
      </c>
    </row>
    <row r="7" spans="1:4" x14ac:dyDescent="0.25">
      <c r="A7" s="1" t="s">
        <v>6</v>
      </c>
      <c r="B7" s="1">
        <f ca="1">B5-B4</f>
        <v>19</v>
      </c>
      <c r="C7" s="1"/>
    </row>
    <row r="8" spans="1:4" x14ac:dyDescent="0.25">
      <c r="A8" s="1" t="s">
        <v>7</v>
      </c>
      <c r="B8" s="1">
        <f ca="1">B6-B4</f>
        <v>294</v>
      </c>
      <c r="C8" s="1"/>
    </row>
    <row r="9" spans="1:4" x14ac:dyDescent="0.25">
      <c r="A9" s="1"/>
      <c r="B9" s="1"/>
      <c r="C9" s="1"/>
    </row>
    <row r="10" spans="1:4" x14ac:dyDescent="0.25">
      <c r="A10" s="1" t="s">
        <v>8</v>
      </c>
      <c r="B10" s="4">
        <v>38693</v>
      </c>
      <c r="C10" s="1"/>
    </row>
    <row r="11" spans="1:4" x14ac:dyDescent="0.25">
      <c r="A11" s="1" t="s">
        <v>9</v>
      </c>
      <c r="B11" s="1">
        <f ca="1">B4-B10</f>
        <v>6670</v>
      </c>
      <c r="C11" s="1"/>
    </row>
    <row r="12" spans="1:4" x14ac:dyDescent="0.25">
      <c r="A12" s="1" t="s">
        <v>10</v>
      </c>
      <c r="B12" s="4">
        <f ca="1">B4+100</f>
        <v>45463</v>
      </c>
      <c r="C12" s="1"/>
    </row>
    <row r="13" spans="1:4" x14ac:dyDescent="0.25">
      <c r="A13" s="1" t="s">
        <v>11</v>
      </c>
      <c r="B13" s="7">
        <f ca="1">B4+365</f>
        <v>45728</v>
      </c>
      <c r="C13" s="1"/>
    </row>
    <row r="15" spans="1:4" x14ac:dyDescent="0.25">
      <c r="A15" s="1" t="s">
        <v>12</v>
      </c>
      <c r="B15" s="4">
        <v>41186</v>
      </c>
      <c r="C15" s="8">
        <f ca="1">(B4-B15)/365</f>
        <v>11.443835616438356</v>
      </c>
      <c r="D15" s="1">
        <f>WEEKDAY(B15,2)</f>
        <v>4</v>
      </c>
    </row>
    <row r="16" spans="1:4" x14ac:dyDescent="0.25">
      <c r="A16" s="1" t="s">
        <v>13</v>
      </c>
      <c r="B16" s="4">
        <v>34192</v>
      </c>
      <c r="C16" s="9">
        <f ca="1">(B4-B16)/365</f>
        <v>30.605479452054794</v>
      </c>
      <c r="D16" s="1">
        <f>WEEKDAY(B16,2)</f>
        <v>3</v>
      </c>
    </row>
    <row r="17" spans="1:4" x14ac:dyDescent="0.25">
      <c r="A17" s="1" t="s">
        <v>14</v>
      </c>
      <c r="B17" s="10">
        <v>36690</v>
      </c>
      <c r="C17" s="9">
        <f ca="1">(B4-B17)/365</f>
        <v>23.761643835616439</v>
      </c>
      <c r="D17" s="1">
        <f t="shared" ref="D17:D19" si="0">WEEKDAY(B17,2)</f>
        <v>2</v>
      </c>
    </row>
    <row r="18" spans="1:4" x14ac:dyDescent="0.25">
      <c r="A18" s="1" t="s">
        <v>15</v>
      </c>
      <c r="B18" s="4">
        <v>36232</v>
      </c>
      <c r="C18" s="9">
        <f ca="1">(B4-B18)/365</f>
        <v>25.016438356164382</v>
      </c>
      <c r="D18" s="1">
        <f t="shared" si="0"/>
        <v>6</v>
      </c>
    </row>
    <row r="19" spans="1:4" x14ac:dyDescent="0.25">
      <c r="A19" s="1" t="s">
        <v>16</v>
      </c>
      <c r="B19" s="4">
        <v>41352</v>
      </c>
      <c r="C19" s="9">
        <f ca="1">(B4-B19)/365</f>
        <v>10.989041095890411</v>
      </c>
      <c r="D19" s="1">
        <f t="shared" si="0"/>
        <v>2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4B30F-54C8-4925-96A6-78030665BF3C}">
  <dimension ref="A1:G62"/>
  <sheetViews>
    <sheetView tabSelected="1" workbookViewId="0">
      <selection activeCell="I57" sqref="I57"/>
    </sheetView>
  </sheetViews>
  <sheetFormatPr defaultRowHeight="15" x14ac:dyDescent="0.25"/>
  <cols>
    <col min="1" max="1" width="29.85546875" bestFit="1" customWidth="1"/>
    <col min="2" max="2" width="23.42578125" bestFit="1" customWidth="1"/>
    <col min="3" max="3" width="15.140625" bestFit="1" customWidth="1"/>
  </cols>
  <sheetData>
    <row r="1" spans="1:2" x14ac:dyDescent="0.25">
      <c r="A1" s="1"/>
      <c r="B1" s="14">
        <v>16566</v>
      </c>
    </row>
    <row r="3" spans="1:2" x14ac:dyDescent="0.25">
      <c r="A3" s="1"/>
      <c r="B3" s="15">
        <v>37135</v>
      </c>
    </row>
    <row r="4" spans="1:2" x14ac:dyDescent="0.25">
      <c r="A4" s="1"/>
      <c r="B4" s="16">
        <v>37135</v>
      </c>
    </row>
    <row r="6" spans="1:2" x14ac:dyDescent="0.25">
      <c r="A6" s="4">
        <f ca="1">TODAY()</f>
        <v>45363</v>
      </c>
      <c r="B6" s="1">
        <f ca="1">WEEKDAY(A6,2)</f>
        <v>2</v>
      </c>
    </row>
    <row r="8" spans="1:2" x14ac:dyDescent="0.25">
      <c r="A8" s="1" t="s">
        <v>17</v>
      </c>
      <c r="B8" s="4">
        <v>41255</v>
      </c>
    </row>
    <row r="9" spans="1:2" x14ac:dyDescent="0.25">
      <c r="A9" s="1" t="s">
        <v>18</v>
      </c>
      <c r="B9" s="4">
        <f>B8-200</f>
        <v>41055</v>
      </c>
    </row>
    <row r="11" spans="1:2" x14ac:dyDescent="0.25">
      <c r="A11" s="1"/>
      <c r="B11" s="4">
        <v>19274</v>
      </c>
    </row>
    <row r="12" spans="1:2" x14ac:dyDescent="0.25">
      <c r="A12" s="1"/>
      <c r="B12" s="4">
        <v>19423</v>
      </c>
    </row>
    <row r="13" spans="1:2" x14ac:dyDescent="0.25">
      <c r="A13" s="1" t="s">
        <v>19</v>
      </c>
      <c r="B13" s="1">
        <f>B12-B11</f>
        <v>149</v>
      </c>
    </row>
    <row r="15" spans="1:2" x14ac:dyDescent="0.25">
      <c r="A15" s="1"/>
      <c r="B15" s="4">
        <v>38693</v>
      </c>
    </row>
    <row r="16" spans="1:2" x14ac:dyDescent="0.25">
      <c r="A16" s="1"/>
      <c r="B16" s="4">
        <f ca="1">TODAY()</f>
        <v>45363</v>
      </c>
    </row>
    <row r="17" spans="1:7" x14ac:dyDescent="0.25">
      <c r="A17" s="1" t="s">
        <v>20</v>
      </c>
      <c r="B17" s="1">
        <f ca="1">B16-B15</f>
        <v>6670</v>
      </c>
    </row>
    <row r="18" spans="1:7" x14ac:dyDescent="0.25">
      <c r="A18" s="1" t="s">
        <v>21</v>
      </c>
      <c r="B18" s="4">
        <f ca="1">B16+B17</f>
        <v>52033</v>
      </c>
    </row>
    <row r="20" spans="1:7" x14ac:dyDescent="0.25">
      <c r="A20" s="1"/>
      <c r="B20" s="4">
        <v>38693</v>
      </c>
      <c r="C20" s="1"/>
    </row>
    <row r="21" spans="1:7" x14ac:dyDescent="0.25">
      <c r="A21" s="1"/>
      <c r="B21" s="4">
        <f ca="1">TODAY()</f>
        <v>45363</v>
      </c>
      <c r="C21" s="1"/>
    </row>
    <row r="22" spans="1:7" x14ac:dyDescent="0.25">
      <c r="A22" s="1" t="s">
        <v>20</v>
      </c>
      <c r="B22" s="1">
        <f ca="1">B21-B20</f>
        <v>6670</v>
      </c>
      <c r="C22" s="1"/>
    </row>
    <row r="23" spans="1:7" x14ac:dyDescent="0.25">
      <c r="A23" s="1" t="s">
        <v>21</v>
      </c>
      <c r="B23" s="4">
        <f ca="1">B21+B22*1</f>
        <v>52033</v>
      </c>
      <c r="C23" s="17">
        <f ca="1">WEEKDAY(B23,2)</f>
        <v>1</v>
      </c>
    </row>
    <row r="24" spans="1:7" x14ac:dyDescent="0.25">
      <c r="A24" s="1" t="s">
        <v>22</v>
      </c>
      <c r="B24" s="4">
        <f ca="1">B21+B22*2</f>
        <v>58703</v>
      </c>
      <c r="C24" s="17">
        <f ca="1">WEEKDAY(B24,2)</f>
        <v>7</v>
      </c>
    </row>
    <row r="25" spans="1:7" x14ac:dyDescent="0.25">
      <c r="A25" s="1" t="s">
        <v>23</v>
      </c>
      <c r="B25" s="4">
        <f ca="1">B21+B22*3</f>
        <v>65373</v>
      </c>
      <c r="C25" s="17">
        <f ca="1">WEEKDAY(B25,2)</f>
        <v>6</v>
      </c>
    </row>
    <row r="26" spans="1:7" x14ac:dyDescent="0.25">
      <c r="A26" s="1" t="s">
        <v>24</v>
      </c>
      <c r="B26" s="4">
        <f ca="1">B21+B22*4</f>
        <v>72043</v>
      </c>
      <c r="C26" s="17">
        <f ca="1">WEEKDAY(B26,2)</f>
        <v>5</v>
      </c>
    </row>
    <row r="28" spans="1:7" x14ac:dyDescent="0.25">
      <c r="A28" s="12" t="s">
        <v>25</v>
      </c>
      <c r="B28" s="1" t="s">
        <v>26</v>
      </c>
      <c r="C28" s="1" t="s">
        <v>29</v>
      </c>
      <c r="D28" s="1"/>
      <c r="E28" s="1"/>
      <c r="F28" s="1"/>
      <c r="G28" s="1"/>
    </row>
    <row r="29" spans="1:7" x14ac:dyDescent="0.25">
      <c r="A29" s="1">
        <v>1</v>
      </c>
      <c r="B29" s="1" t="s">
        <v>27</v>
      </c>
      <c r="C29" s="13">
        <v>40109</v>
      </c>
      <c r="D29" s="1">
        <f>WEEKDAY(C29,2)</f>
        <v>5</v>
      </c>
      <c r="E29" s="1" t="str">
        <f>IF(D29=3,"+","")</f>
        <v/>
      </c>
      <c r="F29" s="1" t="str">
        <f>IF(DAY(C29)=10,"+","")</f>
        <v/>
      </c>
      <c r="G29" s="1" t="str">
        <f>IF(MONTH(C29)=8,"+","")</f>
        <v/>
      </c>
    </row>
    <row r="30" spans="1:7" x14ac:dyDescent="0.25">
      <c r="A30" s="1">
        <v>2</v>
      </c>
      <c r="B30" s="1" t="s">
        <v>30</v>
      </c>
      <c r="C30" s="4">
        <v>39936</v>
      </c>
      <c r="D30" s="1">
        <f>WEEKDAY(C30,2)</f>
        <v>7</v>
      </c>
      <c r="E30" s="1" t="str">
        <f t="shared" ref="E30:E53" si="0">IF(D30=3,"+","")</f>
        <v/>
      </c>
      <c r="F30" s="1" t="str">
        <f t="shared" ref="F30:F53" si="1">IF(DAY(C30)=10,"+","")</f>
        <v/>
      </c>
      <c r="G30" s="1" t="str">
        <f t="shared" ref="G30:G53" si="2">IF(MONTH(C30)=8,"+","")</f>
        <v/>
      </c>
    </row>
    <row r="31" spans="1:7" x14ac:dyDescent="0.25">
      <c r="A31" s="1">
        <v>3</v>
      </c>
      <c r="B31" s="1" t="s">
        <v>31</v>
      </c>
      <c r="C31" s="4">
        <v>39092</v>
      </c>
      <c r="D31" s="1">
        <f>WEEKDAY(C31,2)</f>
        <v>3</v>
      </c>
      <c r="E31" s="1" t="str">
        <f t="shared" si="0"/>
        <v>+</v>
      </c>
      <c r="F31" s="1" t="str">
        <f t="shared" si="1"/>
        <v>+</v>
      </c>
      <c r="G31" s="1" t="str">
        <f t="shared" si="2"/>
        <v/>
      </c>
    </row>
    <row r="32" spans="1:7" x14ac:dyDescent="0.25">
      <c r="A32" s="1">
        <v>4</v>
      </c>
      <c r="B32" s="1" t="s">
        <v>32</v>
      </c>
      <c r="C32" s="4">
        <v>39288</v>
      </c>
      <c r="D32" s="1">
        <f>WEEKDAY(C32,2)</f>
        <v>3</v>
      </c>
      <c r="E32" s="1" t="str">
        <f t="shared" si="0"/>
        <v>+</v>
      </c>
      <c r="F32" s="1" t="str">
        <f t="shared" si="1"/>
        <v/>
      </c>
      <c r="G32" s="1" t="str">
        <f t="shared" si="2"/>
        <v/>
      </c>
    </row>
    <row r="33" spans="1:7" x14ac:dyDescent="0.25">
      <c r="A33" s="1">
        <v>5</v>
      </c>
      <c r="B33" s="1" t="s">
        <v>33</v>
      </c>
      <c r="C33" s="4">
        <v>40099</v>
      </c>
      <c r="D33" s="1">
        <f>WEEKDAY(C33,2)</f>
        <v>2</v>
      </c>
      <c r="E33" s="1" t="str">
        <f t="shared" si="0"/>
        <v/>
      </c>
      <c r="F33" s="1" t="str">
        <f t="shared" si="1"/>
        <v/>
      </c>
      <c r="G33" s="1" t="str">
        <f t="shared" si="2"/>
        <v/>
      </c>
    </row>
    <row r="34" spans="1:7" x14ac:dyDescent="0.25">
      <c r="A34" s="1">
        <v>6</v>
      </c>
      <c r="B34" s="1" t="s">
        <v>34</v>
      </c>
      <c r="C34" s="4">
        <v>40021</v>
      </c>
      <c r="D34" s="1">
        <f>WEEKDAY(C34,2)</f>
        <v>1</v>
      </c>
      <c r="E34" s="1" t="str">
        <f t="shared" si="0"/>
        <v/>
      </c>
      <c r="F34" s="1" t="str">
        <f t="shared" si="1"/>
        <v/>
      </c>
      <c r="G34" s="1" t="str">
        <f t="shared" si="2"/>
        <v/>
      </c>
    </row>
    <row r="35" spans="1:7" x14ac:dyDescent="0.25">
      <c r="A35" s="1">
        <v>7</v>
      </c>
      <c r="B35" s="1" t="s">
        <v>35</v>
      </c>
      <c r="C35" s="4">
        <v>39324</v>
      </c>
      <c r="D35" s="1">
        <f>WEEKDAY(C35,2)</f>
        <v>4</v>
      </c>
      <c r="E35" s="1" t="str">
        <f t="shared" si="0"/>
        <v/>
      </c>
      <c r="F35" s="1" t="str">
        <f t="shared" si="1"/>
        <v/>
      </c>
      <c r="G35" s="1" t="str">
        <f t="shared" si="2"/>
        <v>+</v>
      </c>
    </row>
    <row r="36" spans="1:7" x14ac:dyDescent="0.25">
      <c r="A36" s="1">
        <v>8</v>
      </c>
      <c r="B36" s="1" t="s">
        <v>36</v>
      </c>
      <c r="C36" s="4">
        <v>39235</v>
      </c>
      <c r="D36" s="1">
        <f>WEEKDAY(C36,2)</f>
        <v>6</v>
      </c>
      <c r="E36" s="1" t="str">
        <f t="shared" si="0"/>
        <v/>
      </c>
      <c r="F36" s="1" t="str">
        <f t="shared" si="1"/>
        <v/>
      </c>
      <c r="G36" s="1" t="str">
        <f t="shared" si="2"/>
        <v/>
      </c>
    </row>
    <row r="37" spans="1:7" x14ac:dyDescent="0.25">
      <c r="A37" s="1">
        <v>9</v>
      </c>
      <c r="B37" s="1" t="s">
        <v>37</v>
      </c>
      <c r="C37" s="4">
        <v>39916</v>
      </c>
      <c r="D37" s="1">
        <f>WEEKDAY(C37,2)</f>
        <v>1</v>
      </c>
      <c r="E37" s="1" t="str">
        <f t="shared" si="0"/>
        <v/>
      </c>
      <c r="F37" s="1" t="str">
        <f t="shared" si="1"/>
        <v/>
      </c>
      <c r="G37" s="1" t="str">
        <f t="shared" si="2"/>
        <v/>
      </c>
    </row>
    <row r="38" spans="1:7" x14ac:dyDescent="0.25">
      <c r="A38" s="1">
        <v>10</v>
      </c>
      <c r="B38" s="1" t="s">
        <v>38</v>
      </c>
      <c r="C38" s="4">
        <v>39986</v>
      </c>
      <c r="D38" s="1">
        <f>WEEKDAY(C38,2)</f>
        <v>1</v>
      </c>
      <c r="E38" s="1" t="str">
        <f t="shared" si="0"/>
        <v/>
      </c>
      <c r="F38" s="1" t="str">
        <f t="shared" si="1"/>
        <v/>
      </c>
      <c r="G38" s="1" t="str">
        <f t="shared" si="2"/>
        <v/>
      </c>
    </row>
    <row r="39" spans="1:7" x14ac:dyDescent="0.25">
      <c r="A39" s="1">
        <v>11</v>
      </c>
      <c r="B39" s="1" t="s">
        <v>39</v>
      </c>
      <c r="C39" s="4">
        <v>39565</v>
      </c>
      <c r="D39" s="1">
        <f>WEEKDAY(C39,2)</f>
        <v>7</v>
      </c>
      <c r="E39" s="1" t="str">
        <f t="shared" si="0"/>
        <v/>
      </c>
      <c r="F39" s="1" t="str">
        <f t="shared" si="1"/>
        <v/>
      </c>
      <c r="G39" s="1" t="str">
        <f t="shared" si="2"/>
        <v/>
      </c>
    </row>
    <row r="40" spans="1:7" x14ac:dyDescent="0.25">
      <c r="A40" s="1">
        <v>12</v>
      </c>
      <c r="B40" s="1" t="s">
        <v>40</v>
      </c>
      <c r="C40" s="4">
        <v>39680</v>
      </c>
      <c r="D40" s="1">
        <f>WEEKDAY(C40,2)</f>
        <v>3</v>
      </c>
      <c r="E40" s="1" t="str">
        <f t="shared" si="0"/>
        <v>+</v>
      </c>
      <c r="F40" s="1" t="str">
        <f t="shared" si="1"/>
        <v/>
      </c>
      <c r="G40" s="1" t="str">
        <f t="shared" si="2"/>
        <v>+</v>
      </c>
    </row>
    <row r="41" spans="1:7" x14ac:dyDescent="0.25">
      <c r="A41" s="1">
        <v>13</v>
      </c>
      <c r="B41" s="1" t="s">
        <v>41</v>
      </c>
      <c r="C41" s="4">
        <v>39332</v>
      </c>
      <c r="D41" s="1">
        <f>WEEKDAY(C41,2)</f>
        <v>5</v>
      </c>
      <c r="E41" s="1" t="str">
        <f t="shared" si="0"/>
        <v/>
      </c>
      <c r="F41" s="1" t="str">
        <f t="shared" si="1"/>
        <v/>
      </c>
      <c r="G41" s="1" t="str">
        <f t="shared" si="2"/>
        <v/>
      </c>
    </row>
    <row r="42" spans="1:7" x14ac:dyDescent="0.25">
      <c r="A42" s="1">
        <v>14</v>
      </c>
      <c r="B42" s="1" t="s">
        <v>42</v>
      </c>
      <c r="C42" s="4">
        <v>39319</v>
      </c>
      <c r="D42" s="1">
        <f>WEEKDAY(C42,2)</f>
        <v>6</v>
      </c>
      <c r="E42" s="1" t="str">
        <f t="shared" si="0"/>
        <v/>
      </c>
      <c r="F42" s="1" t="str">
        <f t="shared" si="1"/>
        <v/>
      </c>
      <c r="G42" s="1" t="str">
        <f t="shared" si="2"/>
        <v>+</v>
      </c>
    </row>
    <row r="43" spans="1:7" x14ac:dyDescent="0.25">
      <c r="A43" s="1">
        <v>15</v>
      </c>
      <c r="B43" s="1" t="s">
        <v>43</v>
      </c>
      <c r="C43" s="4">
        <v>38837</v>
      </c>
      <c r="D43" s="1">
        <f>WEEKDAY(C43,2)</f>
        <v>7</v>
      </c>
      <c r="E43" s="1" t="str">
        <f t="shared" si="0"/>
        <v/>
      </c>
      <c r="F43" s="1" t="str">
        <f t="shared" si="1"/>
        <v/>
      </c>
      <c r="G43" s="1" t="str">
        <f t="shared" si="2"/>
        <v/>
      </c>
    </row>
    <row r="44" spans="1:7" x14ac:dyDescent="0.25">
      <c r="A44" s="1">
        <v>16</v>
      </c>
      <c r="B44" s="1" t="s">
        <v>44</v>
      </c>
      <c r="C44" s="4">
        <v>39662</v>
      </c>
      <c r="D44" s="1">
        <f>WEEKDAY(C44,2)</f>
        <v>6</v>
      </c>
      <c r="E44" s="1" t="str">
        <f t="shared" si="0"/>
        <v/>
      </c>
      <c r="F44" s="1" t="str">
        <f t="shared" si="1"/>
        <v/>
      </c>
      <c r="G44" s="1" t="str">
        <f t="shared" si="2"/>
        <v>+</v>
      </c>
    </row>
    <row r="45" spans="1:7" x14ac:dyDescent="0.25">
      <c r="A45" s="1">
        <v>17</v>
      </c>
      <c r="B45" s="1" t="s">
        <v>45</v>
      </c>
      <c r="C45" s="4">
        <v>39163</v>
      </c>
      <c r="D45" s="1">
        <f>WEEKDAY(C45,2)</f>
        <v>4</v>
      </c>
      <c r="E45" s="1" t="str">
        <f t="shared" si="0"/>
        <v/>
      </c>
      <c r="F45" s="1" t="str">
        <f t="shared" si="1"/>
        <v/>
      </c>
      <c r="G45" s="1" t="str">
        <f t="shared" si="2"/>
        <v/>
      </c>
    </row>
    <row r="46" spans="1:7" x14ac:dyDescent="0.25">
      <c r="A46" s="1">
        <v>18</v>
      </c>
      <c r="B46" s="1" t="s">
        <v>46</v>
      </c>
      <c r="C46" s="4">
        <v>39517</v>
      </c>
      <c r="D46" s="1">
        <f>WEEKDAY(C46,2)</f>
        <v>1</v>
      </c>
      <c r="E46" s="1" t="str">
        <f t="shared" si="0"/>
        <v/>
      </c>
      <c r="F46" s="1" t="str">
        <f t="shared" si="1"/>
        <v>+</v>
      </c>
      <c r="G46" s="1" t="str">
        <f t="shared" si="2"/>
        <v/>
      </c>
    </row>
    <row r="47" spans="1:7" x14ac:dyDescent="0.25">
      <c r="A47" s="1">
        <v>19</v>
      </c>
      <c r="B47" s="1" t="s">
        <v>47</v>
      </c>
      <c r="C47" s="4">
        <v>40161</v>
      </c>
      <c r="D47" s="1">
        <f>WEEKDAY(C47,2)</f>
        <v>1</v>
      </c>
      <c r="E47" s="1" t="str">
        <f t="shared" si="0"/>
        <v/>
      </c>
      <c r="F47" s="1" t="str">
        <f t="shared" si="1"/>
        <v/>
      </c>
      <c r="G47" s="1" t="str">
        <f t="shared" si="2"/>
        <v/>
      </c>
    </row>
    <row r="48" spans="1:7" x14ac:dyDescent="0.25">
      <c r="A48" s="1">
        <v>20</v>
      </c>
      <c r="B48" s="1" t="s">
        <v>48</v>
      </c>
      <c r="C48" s="4">
        <v>38850</v>
      </c>
      <c r="D48" s="1">
        <f>WEEKDAY(C48,2)</f>
        <v>6</v>
      </c>
      <c r="E48" s="1" t="str">
        <f t="shared" si="0"/>
        <v/>
      </c>
      <c r="F48" s="1" t="str">
        <f t="shared" si="1"/>
        <v/>
      </c>
      <c r="G48" s="1" t="str">
        <f t="shared" si="2"/>
        <v/>
      </c>
    </row>
    <row r="49" spans="1:7" x14ac:dyDescent="0.25">
      <c r="A49" s="1">
        <v>21</v>
      </c>
      <c r="B49" s="1" t="s">
        <v>49</v>
      </c>
      <c r="C49" s="4">
        <v>38890</v>
      </c>
      <c r="D49" s="1">
        <f>WEEKDAY(C49,2)</f>
        <v>4</v>
      </c>
      <c r="E49" s="1" t="str">
        <f t="shared" si="0"/>
        <v/>
      </c>
      <c r="F49" s="1" t="str">
        <f t="shared" si="1"/>
        <v/>
      </c>
      <c r="G49" s="1" t="str">
        <f t="shared" si="2"/>
        <v/>
      </c>
    </row>
    <row r="50" spans="1:7" x14ac:dyDescent="0.25">
      <c r="A50" s="1">
        <v>22</v>
      </c>
      <c r="B50" s="1" t="s">
        <v>50</v>
      </c>
      <c r="C50" s="4">
        <v>38948</v>
      </c>
      <c r="D50" s="1">
        <f>WEEKDAY(C50,2)</f>
        <v>6</v>
      </c>
      <c r="E50" s="1" t="str">
        <f t="shared" si="0"/>
        <v/>
      </c>
      <c r="F50" s="1" t="str">
        <f t="shared" si="1"/>
        <v/>
      </c>
      <c r="G50" s="1" t="str">
        <f t="shared" si="2"/>
        <v>+</v>
      </c>
    </row>
    <row r="51" spans="1:7" x14ac:dyDescent="0.25">
      <c r="A51" s="1">
        <v>23</v>
      </c>
      <c r="B51" s="1" t="s">
        <v>51</v>
      </c>
      <c r="C51" s="4">
        <v>40170</v>
      </c>
      <c r="D51" s="1">
        <f>WEEKDAY(C51,2)</f>
        <v>3</v>
      </c>
      <c r="E51" s="1" t="str">
        <f t="shared" si="0"/>
        <v>+</v>
      </c>
      <c r="F51" s="1" t="str">
        <f t="shared" si="1"/>
        <v/>
      </c>
      <c r="G51" s="1" t="str">
        <f t="shared" si="2"/>
        <v/>
      </c>
    </row>
    <row r="52" spans="1:7" x14ac:dyDescent="0.25">
      <c r="A52" s="1">
        <v>24</v>
      </c>
      <c r="B52" s="1" t="s">
        <v>52</v>
      </c>
      <c r="C52" s="4">
        <v>39754</v>
      </c>
      <c r="D52" s="1">
        <f>WEEKDAY(C52,2)</f>
        <v>7</v>
      </c>
      <c r="E52" s="1" t="str">
        <f t="shared" si="0"/>
        <v/>
      </c>
      <c r="F52" s="1" t="str">
        <f t="shared" si="1"/>
        <v/>
      </c>
      <c r="G52" s="1" t="str">
        <f t="shared" si="2"/>
        <v/>
      </c>
    </row>
    <row r="53" spans="1:7" x14ac:dyDescent="0.25">
      <c r="A53" s="1">
        <v>25</v>
      </c>
      <c r="B53" s="1" t="s">
        <v>28</v>
      </c>
      <c r="C53" s="4">
        <v>39227</v>
      </c>
      <c r="D53" s="1">
        <f>WEEKDAY(C53,2)</f>
        <v>5</v>
      </c>
      <c r="E53" s="1" t="str">
        <f t="shared" si="0"/>
        <v/>
      </c>
      <c r="F53" s="1" t="str">
        <f t="shared" si="1"/>
        <v/>
      </c>
      <c r="G53" s="1" t="str">
        <f t="shared" si="2"/>
        <v/>
      </c>
    </row>
    <row r="55" spans="1:7" x14ac:dyDescent="0.25">
      <c r="A55" s="1" t="s">
        <v>53</v>
      </c>
      <c r="B55" s="4">
        <v>16098</v>
      </c>
    </row>
    <row r="56" spans="1:7" x14ac:dyDescent="0.25">
      <c r="A56" s="1" t="s">
        <v>54</v>
      </c>
      <c r="B56" s="4">
        <f>DATE(YEAR(B55),MONTH(B55)-5,DAY(B55))</f>
        <v>15945</v>
      </c>
    </row>
    <row r="58" spans="1:7" x14ac:dyDescent="0.25">
      <c r="A58" s="1" t="s">
        <v>53</v>
      </c>
      <c r="B58" s="4">
        <v>16098</v>
      </c>
    </row>
    <row r="59" spans="1:7" x14ac:dyDescent="0.25">
      <c r="A59" s="1" t="s">
        <v>58</v>
      </c>
      <c r="B59" s="4">
        <f>DATE(YEAR(B58)+B60,MONTH(B58)+B61,DAY(B58)+B62)</f>
        <v>16526</v>
      </c>
    </row>
    <row r="60" spans="1:7" x14ac:dyDescent="0.25">
      <c r="A60" s="1" t="s">
        <v>55</v>
      </c>
      <c r="B60" s="1">
        <v>1</v>
      </c>
    </row>
    <row r="61" spans="1:7" x14ac:dyDescent="0.25">
      <c r="A61" s="1" t="s">
        <v>56</v>
      </c>
      <c r="B61" s="1">
        <v>2</v>
      </c>
    </row>
    <row r="62" spans="1:7" x14ac:dyDescent="0.25">
      <c r="A62" s="1" t="s">
        <v>57</v>
      </c>
      <c r="B62" s="1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2291921-5</dc:creator>
  <cp:lastModifiedBy>2291921-5</cp:lastModifiedBy>
  <dcterms:created xsi:type="dcterms:W3CDTF">2015-06-05T18:19:34Z</dcterms:created>
  <dcterms:modified xsi:type="dcterms:W3CDTF">2024-03-12T10:39:22Z</dcterms:modified>
</cp:coreProperties>
</file>