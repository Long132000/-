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99E462B8-5B07-450C-9245-C7854642E54F}" xr6:coauthVersionLast="47" xr6:coauthVersionMax="47" xr10:uidLastSave="{00000000-0000-0000-0000-000000000000}"/>
  <bookViews>
    <workbookView xWindow="390" yWindow="390" windowWidth="21600" windowHeight="1138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F4" i="2"/>
  <c r="F5" i="2"/>
  <c r="F6" i="2"/>
  <c r="F7" i="2"/>
  <c r="F8" i="2"/>
  <c r="F9" i="2"/>
  <c r="F10" i="2"/>
  <c r="F3" i="2"/>
  <c r="D4" i="2"/>
  <c r="D5" i="2"/>
  <c r="D6" i="2"/>
  <c r="D7" i="2"/>
  <c r="D8" i="2"/>
  <c r="D9" i="2"/>
  <c r="D10" i="2"/>
  <c r="D3" i="2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2" i="1"/>
  <c r="F2" i="1" s="1"/>
  <c r="F11" i="1" l="1"/>
</calcChain>
</file>

<file path=xl/sharedStrings.xml><?xml version="1.0" encoding="utf-8"?>
<sst xmlns="http://schemas.openxmlformats.org/spreadsheetml/2006/main" count="33" uniqueCount="33">
  <si>
    <t>Коэф A</t>
  </si>
  <si>
    <t>Коэф B</t>
  </si>
  <si>
    <t xml:space="preserve">Должность </t>
  </si>
  <si>
    <t>санитарка</t>
  </si>
  <si>
    <t>медсестра</t>
  </si>
  <si>
    <t>врач</t>
  </si>
  <si>
    <t>зав. Отделением</t>
  </si>
  <si>
    <t>зав. Аптекой</t>
  </si>
  <si>
    <t>завхоз</t>
  </si>
  <si>
    <t>главврач</t>
  </si>
  <si>
    <t>зав. Больницей</t>
  </si>
  <si>
    <t>Зарплата</t>
  </si>
  <si>
    <t xml:space="preserve">Колличество сотрудников </t>
  </si>
  <si>
    <t xml:space="preserve">Суммарная зарплата </t>
  </si>
  <si>
    <t xml:space="preserve">Минимальная зарплата </t>
  </si>
  <si>
    <t>Месечный фонд:</t>
  </si>
  <si>
    <t>Должность</t>
  </si>
  <si>
    <t>Коэффициенты</t>
  </si>
  <si>
    <t>A</t>
  </si>
  <si>
    <t>B</t>
  </si>
  <si>
    <t>Зарплата сотрудника</t>
  </si>
  <si>
    <t>Кол-во сотрудиков</t>
  </si>
  <si>
    <t>Суммарная зарплата</t>
  </si>
  <si>
    <t>Уборщица</t>
  </si>
  <si>
    <t>Кладовщик</t>
  </si>
  <si>
    <t>Ст.кладовщик</t>
  </si>
  <si>
    <t>Зав.складом №1</t>
  </si>
  <si>
    <t>Зав.складом №2</t>
  </si>
  <si>
    <t>Зав.хозяйством</t>
  </si>
  <si>
    <t>Зам.директора</t>
  </si>
  <si>
    <t>Директор</t>
  </si>
  <si>
    <t>Минимальная зарплата:</t>
  </si>
  <si>
    <t>Месячный фонд: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</si>
</sst>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9" formatCode="_-* #,##0.00\ [$₽-419]_-;\-* #,##0.00\ [$₽-419]_-;_-* &quot;-&quot;??\ [$₽-419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A2" sqref="A2:B9"/>
    </sheetView>
  </sheetViews>
  <sheetFormatPr defaultRowHeight="15" x14ac:dyDescent="0.25"/>
  <cols>
    <col min="2" max="2" width="7.7109375" bestFit="1" customWidth="1"/>
    <col min="3" max="3" width="16.7109375" bestFit="1" customWidth="1"/>
    <col min="4" max="4" width="9.28515625" bestFit="1" customWidth="1"/>
    <col min="5" max="5" width="25.7109375" bestFit="1" customWidth="1"/>
    <col min="6" max="6" width="20.5703125" bestFit="1" customWidth="1"/>
    <col min="8" max="8" width="2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/>
      <c r="H1" s="1" t="s">
        <v>14</v>
      </c>
    </row>
    <row r="2" spans="1:8" x14ac:dyDescent="0.25">
      <c r="A2" s="1">
        <v>1</v>
      </c>
      <c r="B2" s="2">
        <v>0</v>
      </c>
      <c r="C2" s="1" t="s">
        <v>3</v>
      </c>
      <c r="D2" s="2">
        <f>$H$2*A2+B2</f>
        <v>163.14049586776858</v>
      </c>
      <c r="E2" s="1">
        <v>10</v>
      </c>
      <c r="F2" s="2">
        <f>D2*E2</f>
        <v>1631.4049586776857</v>
      </c>
      <c r="G2" s="1"/>
      <c r="H2" s="2">
        <v>163.14049586776858</v>
      </c>
    </row>
    <row r="3" spans="1:8" x14ac:dyDescent="0.25">
      <c r="A3" s="1">
        <v>1.5</v>
      </c>
      <c r="B3" s="2">
        <v>0</v>
      </c>
      <c r="C3" s="1" t="s">
        <v>4</v>
      </c>
      <c r="D3" s="2">
        <f t="shared" ref="D3:D9" si="0">$H$2*A3+B3</f>
        <v>244.71074380165288</v>
      </c>
      <c r="E3" s="1">
        <v>7</v>
      </c>
      <c r="F3" s="2">
        <f t="shared" ref="F3:F9" si="1">D3*E3</f>
        <v>1712.9752066115702</v>
      </c>
      <c r="G3" s="1"/>
      <c r="H3" s="1"/>
    </row>
    <row r="4" spans="1:8" x14ac:dyDescent="0.25">
      <c r="A4" s="1">
        <v>3</v>
      </c>
      <c r="B4" s="2">
        <v>0</v>
      </c>
      <c r="C4" s="1" t="s">
        <v>5</v>
      </c>
      <c r="D4" s="2">
        <f t="shared" si="0"/>
        <v>489.42148760330576</v>
      </c>
      <c r="E4" s="1">
        <v>9</v>
      </c>
      <c r="F4" s="2">
        <f t="shared" si="1"/>
        <v>4404.7933884297518</v>
      </c>
      <c r="G4" s="1"/>
      <c r="H4" s="1"/>
    </row>
    <row r="5" spans="1:8" x14ac:dyDescent="0.25">
      <c r="A5" s="1">
        <v>3</v>
      </c>
      <c r="B5" s="2">
        <v>30</v>
      </c>
      <c r="C5" s="1" t="s">
        <v>6</v>
      </c>
      <c r="D5" s="2">
        <f t="shared" si="0"/>
        <v>519.42148760330576</v>
      </c>
      <c r="E5" s="1">
        <v>1</v>
      </c>
      <c r="F5" s="2">
        <f t="shared" si="1"/>
        <v>519.42148760330576</v>
      </c>
      <c r="G5" s="1"/>
      <c r="H5" s="1"/>
    </row>
    <row r="6" spans="1:8" x14ac:dyDescent="0.25">
      <c r="A6" s="1">
        <v>2</v>
      </c>
      <c r="B6" s="2">
        <v>0</v>
      </c>
      <c r="C6" s="1" t="s">
        <v>7</v>
      </c>
      <c r="D6" s="2">
        <f t="shared" si="0"/>
        <v>326.28099173553716</v>
      </c>
      <c r="E6" s="1">
        <v>3</v>
      </c>
      <c r="F6" s="2">
        <f t="shared" si="1"/>
        <v>978.84297520661153</v>
      </c>
      <c r="G6" s="1"/>
      <c r="H6" s="1"/>
    </row>
    <row r="7" spans="1:8" x14ac:dyDescent="0.25">
      <c r="A7" s="1">
        <v>0</v>
      </c>
      <c r="B7" s="2">
        <v>40</v>
      </c>
      <c r="C7" s="1" t="s">
        <v>8</v>
      </c>
      <c r="D7" s="2">
        <f t="shared" si="0"/>
        <v>40</v>
      </c>
      <c r="E7" s="1">
        <v>2</v>
      </c>
      <c r="F7" s="2">
        <f t="shared" si="1"/>
        <v>80</v>
      </c>
      <c r="G7" s="1"/>
      <c r="H7" s="1"/>
    </row>
    <row r="8" spans="1:8" x14ac:dyDescent="0.25">
      <c r="A8" s="1">
        <v>4</v>
      </c>
      <c r="B8" s="2">
        <v>0</v>
      </c>
      <c r="C8" s="1" t="s">
        <v>9</v>
      </c>
      <c r="D8" s="2">
        <f t="shared" si="0"/>
        <v>652.56198347107431</v>
      </c>
      <c r="E8" s="1">
        <v>1</v>
      </c>
      <c r="F8" s="2">
        <f t="shared" si="1"/>
        <v>652.56198347107431</v>
      </c>
      <c r="G8" s="1"/>
      <c r="H8" s="1"/>
    </row>
    <row r="9" spans="1:8" x14ac:dyDescent="0.25">
      <c r="A9" s="1">
        <v>0</v>
      </c>
      <c r="B9" s="2">
        <v>20</v>
      </c>
      <c r="C9" s="1" t="s">
        <v>10</v>
      </c>
      <c r="D9" s="2">
        <f t="shared" si="0"/>
        <v>20</v>
      </c>
      <c r="E9" s="1">
        <v>1</v>
      </c>
      <c r="F9" s="2">
        <f t="shared" si="1"/>
        <v>20</v>
      </c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 t="s">
        <v>15</v>
      </c>
      <c r="F11" s="2">
        <f>SUM(F2:F9)</f>
        <v>10000</v>
      </c>
      <c r="G11" s="1"/>
      <c r="H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744C-AFE6-4333-8953-0B26B610E3CD}">
  <dimension ref="A1:F14"/>
  <sheetViews>
    <sheetView tabSelected="1" workbookViewId="0">
      <selection activeCell="H13" sqref="H13"/>
    </sheetView>
  </sheetViews>
  <sheetFormatPr defaultRowHeight="15" x14ac:dyDescent="0.25"/>
  <cols>
    <col min="1" max="1" width="16" bestFit="1" customWidth="1"/>
    <col min="2" max="2" width="7.7109375" customWidth="1"/>
    <col min="3" max="3" width="13.140625" customWidth="1"/>
    <col min="4" max="4" width="20.42578125" bestFit="1" customWidth="1"/>
    <col min="5" max="5" width="23.42578125" bestFit="1" customWidth="1"/>
    <col min="6" max="6" width="20.140625" bestFit="1" customWidth="1"/>
  </cols>
  <sheetData>
    <row r="1" spans="1:6" x14ac:dyDescent="0.25">
      <c r="A1" s="3" t="s">
        <v>16</v>
      </c>
      <c r="B1" s="3" t="s">
        <v>17</v>
      </c>
      <c r="C1" s="3"/>
      <c r="D1" s="3" t="s">
        <v>20</v>
      </c>
      <c r="E1" s="3" t="s">
        <v>21</v>
      </c>
      <c r="F1" s="3" t="s">
        <v>22</v>
      </c>
    </row>
    <row r="2" spans="1:6" x14ac:dyDescent="0.25">
      <c r="A2" s="3"/>
      <c r="B2" s="1" t="s">
        <v>18</v>
      </c>
      <c r="C2" s="1" t="s">
        <v>19</v>
      </c>
      <c r="D2" s="3"/>
      <c r="E2" s="3"/>
      <c r="F2" s="3"/>
    </row>
    <row r="3" spans="1:6" x14ac:dyDescent="0.25">
      <c r="A3" s="1" t="s">
        <v>23</v>
      </c>
      <c r="B3" s="1">
        <v>1</v>
      </c>
      <c r="C3" s="4"/>
      <c r="D3" s="4">
        <f>F$12*B3+C3</f>
        <v>25000</v>
      </c>
      <c r="E3" s="1">
        <v>10</v>
      </c>
      <c r="F3" s="4">
        <f>D3*E3</f>
        <v>250000</v>
      </c>
    </row>
    <row r="4" spans="1:6" x14ac:dyDescent="0.25">
      <c r="A4" s="1" t="s">
        <v>24</v>
      </c>
      <c r="B4" s="1">
        <v>1.5</v>
      </c>
      <c r="C4" s="4"/>
      <c r="D4" s="4">
        <f t="shared" ref="D4:D10" si="0">F$12*B4+C4</f>
        <v>37500</v>
      </c>
      <c r="E4" s="1">
        <v>9</v>
      </c>
      <c r="F4" s="4">
        <f t="shared" ref="F4:F10" si="1">D4*E4</f>
        <v>337500</v>
      </c>
    </row>
    <row r="5" spans="1:6" x14ac:dyDescent="0.25">
      <c r="A5" s="1" t="s">
        <v>25</v>
      </c>
      <c r="B5" s="1">
        <v>3</v>
      </c>
      <c r="C5" s="4"/>
      <c r="D5" s="4">
        <f t="shared" si="0"/>
        <v>75000</v>
      </c>
      <c r="E5" s="1">
        <v>8</v>
      </c>
      <c r="F5" s="4">
        <f t="shared" si="1"/>
        <v>600000</v>
      </c>
    </row>
    <row r="6" spans="1:6" x14ac:dyDescent="0.25">
      <c r="A6" s="1" t="s">
        <v>26</v>
      </c>
      <c r="B6" s="1">
        <v>3</v>
      </c>
      <c r="C6" s="4">
        <v>300</v>
      </c>
      <c r="D6" s="4">
        <f t="shared" si="0"/>
        <v>75300</v>
      </c>
      <c r="E6" s="1">
        <v>7</v>
      </c>
      <c r="F6" s="4">
        <f t="shared" si="1"/>
        <v>527100</v>
      </c>
    </row>
    <row r="7" spans="1:6" x14ac:dyDescent="0.25">
      <c r="A7" s="1" t="s">
        <v>27</v>
      </c>
      <c r="B7" s="1">
        <v>2</v>
      </c>
      <c r="C7" s="4"/>
      <c r="D7" s="4">
        <f t="shared" si="0"/>
        <v>50000</v>
      </c>
      <c r="E7" s="1">
        <v>6</v>
      </c>
      <c r="F7" s="4">
        <f t="shared" si="1"/>
        <v>300000</v>
      </c>
    </row>
    <row r="8" spans="1:6" x14ac:dyDescent="0.25">
      <c r="A8" s="1" t="s">
        <v>28</v>
      </c>
      <c r="B8" s="1">
        <v>0</v>
      </c>
      <c r="C8" s="4">
        <v>400</v>
      </c>
      <c r="D8" s="4">
        <f t="shared" si="0"/>
        <v>400</v>
      </c>
      <c r="E8" s="1">
        <v>5</v>
      </c>
      <c r="F8" s="4">
        <f t="shared" si="1"/>
        <v>2000</v>
      </c>
    </row>
    <row r="9" spans="1:6" x14ac:dyDescent="0.25">
      <c r="A9" s="1" t="s">
        <v>29</v>
      </c>
      <c r="B9" s="1">
        <v>4</v>
      </c>
      <c r="C9" s="4"/>
      <c r="D9" s="4">
        <f t="shared" si="0"/>
        <v>100000</v>
      </c>
      <c r="E9" s="1">
        <v>4</v>
      </c>
      <c r="F9" s="4">
        <f t="shared" si="1"/>
        <v>400000</v>
      </c>
    </row>
    <row r="10" spans="1:6" x14ac:dyDescent="0.25">
      <c r="A10" s="1" t="s">
        <v>30</v>
      </c>
      <c r="B10" s="1">
        <v>0</v>
      </c>
      <c r="C10" s="4">
        <v>200</v>
      </c>
      <c r="D10" s="4">
        <f t="shared" si="0"/>
        <v>200</v>
      </c>
      <c r="E10" s="1">
        <v>3</v>
      </c>
      <c r="F10" s="4">
        <f t="shared" si="1"/>
        <v>600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 t="s">
        <v>31</v>
      </c>
      <c r="F12" s="4">
        <v>25000</v>
      </c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 t="s">
        <v>32</v>
      </c>
      <c r="F14" s="4">
        <f>SUM(F3:F10)</f>
        <v>2417200</v>
      </c>
    </row>
  </sheetData>
  <mergeCells count="5">
    <mergeCell ref="A1:A2"/>
    <mergeCell ref="D1:D2"/>
    <mergeCell ref="E1:E2"/>
    <mergeCell ref="F1:F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2024-02-13T12:44:35Z</dcterms:modified>
</cp:coreProperties>
</file>