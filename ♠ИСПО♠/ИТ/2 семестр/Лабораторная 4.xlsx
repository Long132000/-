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ИТ\2 семестр\"/>
    </mc:Choice>
  </mc:AlternateContent>
  <xr:revisionPtr revIDLastSave="0" documentId="13_ncr:1_{081CC326-D763-474A-9018-4B611F2218EA}" xr6:coauthVersionLast="47" xr6:coauthVersionMax="47" xr10:uidLastSave="{00000000-0000-0000-0000-000000000000}"/>
  <bookViews>
    <workbookView xWindow="-12630" yWindow="3750" windowWidth="21600" windowHeight="11385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3" i="2"/>
  <c r="D4" i="2"/>
  <c r="D5" i="2"/>
  <c r="D6" i="2"/>
  <c r="D7" i="2"/>
  <c r="D8" i="2"/>
  <c r="D9" i="2"/>
  <c r="D3" i="2"/>
  <c r="C4" i="2"/>
  <c r="C5" i="2"/>
  <c r="C6" i="2"/>
  <c r="C7" i="2"/>
  <c r="C8" i="2"/>
  <c r="C9" i="2"/>
  <c r="C3" i="2"/>
  <c r="E13" i="1"/>
  <c r="E5" i="1"/>
  <c r="E6" i="1"/>
  <c r="E7" i="1"/>
  <c r="E8" i="1"/>
  <c r="E9" i="1"/>
  <c r="E10" i="1"/>
  <c r="E11" i="1"/>
  <c r="E12" i="1"/>
  <c r="E4" i="1"/>
  <c r="D13" i="1"/>
  <c r="D5" i="1"/>
  <c r="D6" i="1"/>
  <c r="D7" i="1"/>
  <c r="D8" i="1"/>
  <c r="D9" i="1"/>
  <c r="D10" i="1"/>
  <c r="D11" i="1"/>
  <c r="D12" i="1"/>
  <c r="D4" i="1"/>
</calcChain>
</file>

<file path=xl/sharedStrings.xml><?xml version="1.0" encoding="utf-8"?>
<sst xmlns="http://schemas.openxmlformats.org/spreadsheetml/2006/main" count="31" uniqueCount="30">
  <si>
    <t>Распределение доходов в зависимости от КТУ</t>
  </si>
  <si>
    <t>Огбщий доход</t>
  </si>
  <si>
    <t>ФИО</t>
  </si>
  <si>
    <t>Время, ч</t>
  </si>
  <si>
    <t>Квалификационный разряд</t>
  </si>
  <si>
    <t>КТУ</t>
  </si>
  <si>
    <t>Сумма к выдаче</t>
  </si>
  <si>
    <t>Итого</t>
  </si>
  <si>
    <t>Сотрудник 1</t>
  </si>
  <si>
    <t>Сотрудник 5</t>
  </si>
  <si>
    <t>Сотрудник 8</t>
  </si>
  <si>
    <t>Сотрудник 9</t>
  </si>
  <si>
    <t>Сотрудник 6</t>
  </si>
  <si>
    <t>Сотрудник 2</t>
  </si>
  <si>
    <t>Сотрудник 3</t>
  </si>
  <si>
    <t>Сотрудник 4</t>
  </si>
  <si>
    <t>Сотрудник 7</t>
  </si>
  <si>
    <t>Стоимость программного обеспечения</t>
  </si>
  <si>
    <t>Наименование</t>
  </si>
  <si>
    <t>Стоимость, $</t>
  </si>
  <si>
    <t>Стоимость, р.</t>
  </si>
  <si>
    <t>Стоимость, Евро</t>
  </si>
  <si>
    <t>Доля в общей стоимости, %</t>
  </si>
  <si>
    <t>ОС Windows</t>
  </si>
  <si>
    <t>Пакет MS Office</t>
  </si>
  <si>
    <t>Редактор Corel Draw</t>
  </si>
  <si>
    <t>Графический ускоритель 3D</t>
  </si>
  <si>
    <t>Бухгалтерия 1C</t>
  </si>
  <si>
    <t>Антивирус DR Web</t>
  </si>
  <si>
    <t>Курс валюты(к рублю)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</si>
</sst>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_-* #,##0.00\ [$₽-419]_-;\-* #,##0.00\ [$₽-419]_-;_-* &quot;-&quot;??\ [$₽-419]_-;_-@_-"/>
    <numFmt numFmtId="165" formatCode="#,##0.00\ [$₽-419];\-#,##0.00\ [$₽-419]"/>
    <numFmt numFmtId="171" formatCode="_-[$€-2]\ * #,##0.00_-;\-[$€-2]\ * #,##0.00_-;_-[$€-2]\ * &quot;-&quot;??_-;_-@_-"/>
    <numFmt numFmtId="173" formatCode="_-[$$-409]* #,##0.00_ ;_-[$$-409]* \-#,##0.00\ ;_-[$$-409]* &quot;-&quot;??_ ;_-@_ "/>
    <numFmt numFmtId="17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/>
    <xf numFmtId="0" fontId="0" fillId="0" borderId="1" xfId="0" applyBorder="1"/>
    <xf numFmtId="173" fontId="0" fillId="0" borderId="1" xfId="1" applyNumberFormat="1" applyFont="1" applyBorder="1"/>
    <xf numFmtId="164" fontId="0" fillId="0" borderId="1" xfId="0" applyNumberFormat="1" applyBorder="1"/>
    <xf numFmtId="171" fontId="0" fillId="0" borderId="1" xfId="1" applyNumberFormat="1" applyFont="1" applyBorder="1"/>
    <xf numFmtId="174" fontId="0" fillId="0" borderId="1" xfId="2" applyNumberFormat="1" applyFon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0" fillId="0" borderId="1" xfId="0" applyBorder="1" applyAlignment="1"/>
    <xf numFmtId="2" fontId="0" fillId="0" borderId="1" xfId="0" applyNumberFormat="1" applyBorder="1"/>
    <xf numFmtId="0" fontId="0" fillId="0" borderId="1" xfId="0" applyBorder="1" applyAlignment="1">
      <alignment horizontal="right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6" sqref="E16"/>
    </sheetView>
  </sheetViews>
  <sheetFormatPr defaultRowHeight="15" x14ac:dyDescent="0.25"/>
  <cols>
    <col min="1" max="1" width="14.28515625" bestFit="1" customWidth="1"/>
    <col min="2" max="2" width="12" bestFit="1" customWidth="1"/>
    <col min="3" max="3" width="26.42578125" bestFit="1" customWidth="1"/>
    <col min="4" max="4" width="4.28515625" bestFit="1" customWidth="1"/>
    <col min="5" max="5" width="15.7109375" bestFit="1" customWidth="1"/>
  </cols>
  <sheetData>
    <row r="1" spans="1:5" x14ac:dyDescent="0.25">
      <c r="A1" s="7" t="s">
        <v>0</v>
      </c>
      <c r="B1" s="7"/>
      <c r="C1" s="7"/>
      <c r="D1" s="7"/>
      <c r="E1" s="7"/>
    </row>
    <row r="2" spans="1:5" x14ac:dyDescent="0.25">
      <c r="A2" s="2" t="s">
        <v>1</v>
      </c>
      <c r="B2" s="8">
        <v>10000</v>
      </c>
      <c r="C2" s="2"/>
      <c r="D2" s="2"/>
      <c r="E2" s="2"/>
    </row>
    <row r="3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9" t="s">
        <v>6</v>
      </c>
    </row>
    <row r="4" spans="1:5" x14ac:dyDescent="0.25">
      <c r="A4" s="2" t="s">
        <v>8</v>
      </c>
      <c r="B4" s="2">
        <v>5</v>
      </c>
      <c r="C4" s="2">
        <v>10</v>
      </c>
      <c r="D4" s="2">
        <f>B4*C4</f>
        <v>50</v>
      </c>
      <c r="E4" s="10">
        <f>$B$2*D4/$D$13</f>
        <v>504.03225806451616</v>
      </c>
    </row>
    <row r="5" spans="1:5" x14ac:dyDescent="0.25">
      <c r="A5" s="2" t="s">
        <v>13</v>
      </c>
      <c r="B5" s="2">
        <v>10</v>
      </c>
      <c r="C5" s="2">
        <v>12</v>
      </c>
      <c r="D5" s="2">
        <f t="shared" ref="D5:D12" si="0">B5*C5</f>
        <v>120</v>
      </c>
      <c r="E5" s="10">
        <f t="shared" ref="E5:E12" si="1">$B$2*D5/$D$13</f>
        <v>1209.6774193548388</v>
      </c>
    </row>
    <row r="6" spans="1:5" x14ac:dyDescent="0.25">
      <c r="A6" s="2" t="s">
        <v>14</v>
      </c>
      <c r="B6" s="2">
        <v>12</v>
      </c>
      <c r="C6" s="2">
        <v>18</v>
      </c>
      <c r="D6" s="2">
        <f t="shared" si="0"/>
        <v>216</v>
      </c>
      <c r="E6" s="10">
        <f t="shared" si="1"/>
        <v>2177.4193548387098</v>
      </c>
    </row>
    <row r="7" spans="1:5" x14ac:dyDescent="0.25">
      <c r="A7" s="2" t="s">
        <v>15</v>
      </c>
      <c r="B7" s="2">
        <v>8</v>
      </c>
      <c r="C7" s="2">
        <v>5</v>
      </c>
      <c r="D7" s="2">
        <f t="shared" si="0"/>
        <v>40</v>
      </c>
      <c r="E7" s="10">
        <f t="shared" si="1"/>
        <v>403.22580645161293</v>
      </c>
    </row>
    <row r="8" spans="1:5" x14ac:dyDescent="0.25">
      <c r="A8" s="2" t="s">
        <v>9</v>
      </c>
      <c r="B8" s="2">
        <v>15</v>
      </c>
      <c r="C8" s="2">
        <v>10</v>
      </c>
      <c r="D8" s="2">
        <f t="shared" si="0"/>
        <v>150</v>
      </c>
      <c r="E8" s="10">
        <f t="shared" si="1"/>
        <v>1512.0967741935483</v>
      </c>
    </row>
    <row r="9" spans="1:5" x14ac:dyDescent="0.25">
      <c r="A9" s="2" t="s">
        <v>12</v>
      </c>
      <c r="B9" s="2">
        <v>7</v>
      </c>
      <c r="C9" s="2">
        <v>8</v>
      </c>
      <c r="D9" s="2">
        <f t="shared" si="0"/>
        <v>56</v>
      </c>
      <c r="E9" s="10">
        <f t="shared" si="1"/>
        <v>564.51612903225805</v>
      </c>
    </row>
    <row r="10" spans="1:5" x14ac:dyDescent="0.25">
      <c r="A10" s="2" t="s">
        <v>16</v>
      </c>
      <c r="B10" s="2">
        <v>20</v>
      </c>
      <c r="C10" s="2">
        <v>9</v>
      </c>
      <c r="D10" s="2">
        <f t="shared" si="0"/>
        <v>180</v>
      </c>
      <c r="E10" s="10">
        <f t="shared" si="1"/>
        <v>1814.516129032258</v>
      </c>
    </row>
    <row r="11" spans="1:5" x14ac:dyDescent="0.25">
      <c r="A11" s="2" t="s">
        <v>10</v>
      </c>
      <c r="B11" s="2">
        <v>10</v>
      </c>
      <c r="C11" s="2">
        <v>6</v>
      </c>
      <c r="D11" s="2">
        <f t="shared" si="0"/>
        <v>60</v>
      </c>
      <c r="E11" s="10">
        <f t="shared" si="1"/>
        <v>604.83870967741939</v>
      </c>
    </row>
    <row r="12" spans="1:5" x14ac:dyDescent="0.25">
      <c r="A12" s="2" t="s">
        <v>11</v>
      </c>
      <c r="B12" s="2">
        <v>8</v>
      </c>
      <c r="C12" s="2">
        <v>15</v>
      </c>
      <c r="D12" s="2">
        <f t="shared" si="0"/>
        <v>120</v>
      </c>
      <c r="E12" s="10">
        <f t="shared" si="1"/>
        <v>1209.6774193548388</v>
      </c>
    </row>
    <row r="13" spans="1:5" x14ac:dyDescent="0.25">
      <c r="A13" s="11" t="s">
        <v>7</v>
      </c>
      <c r="B13" s="11"/>
      <c r="C13" s="11"/>
      <c r="D13" s="2">
        <f>SUM(D4:D12)</f>
        <v>992</v>
      </c>
      <c r="E13" s="10">
        <f>SUM(E4:E12)</f>
        <v>9999.9999999999982</v>
      </c>
    </row>
  </sheetData>
  <mergeCells count="2">
    <mergeCell ref="A1:E1"/>
    <mergeCell ref="A13:C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B0EC-F817-40C3-A00C-03BF0D407DBE}">
  <dimension ref="A1:E10"/>
  <sheetViews>
    <sheetView workbookViewId="0">
      <selection activeCell="E16" sqref="E16"/>
    </sheetView>
  </sheetViews>
  <sheetFormatPr defaultRowHeight="15" x14ac:dyDescent="0.25"/>
  <cols>
    <col min="1" max="1" width="26.85546875" bestFit="1" customWidth="1"/>
    <col min="2" max="2" width="12.5703125" bestFit="1" customWidth="1"/>
    <col min="3" max="3" width="13.42578125" bestFit="1" customWidth="1"/>
    <col min="4" max="4" width="16" bestFit="1" customWidth="1"/>
    <col min="5" max="5" width="26.7109375" bestFit="1" customWidth="1"/>
  </cols>
  <sheetData>
    <row r="1" spans="1:5" x14ac:dyDescent="0.25">
      <c r="A1" s="1" t="s">
        <v>17</v>
      </c>
      <c r="B1" s="1"/>
      <c r="C1" s="1"/>
      <c r="D1" s="1"/>
      <c r="E1" s="1"/>
    </row>
    <row r="2" spans="1:5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</row>
    <row r="3" spans="1:5" x14ac:dyDescent="0.25">
      <c r="A3" s="2" t="s">
        <v>23</v>
      </c>
      <c r="B3" s="3">
        <v>18</v>
      </c>
      <c r="C3" s="4">
        <f>B3*B$10</f>
        <v>1296</v>
      </c>
      <c r="D3" s="5">
        <f>C3/D$10</f>
        <v>15.804878048780488</v>
      </c>
      <c r="E3" s="6">
        <f>C3/C$9</f>
        <v>0.11464968152866242</v>
      </c>
    </row>
    <row r="4" spans="1:5" x14ac:dyDescent="0.25">
      <c r="A4" s="2" t="s">
        <v>24</v>
      </c>
      <c r="B4" s="3">
        <v>32</v>
      </c>
      <c r="C4" s="4">
        <f t="shared" ref="C4:C9" si="0">B4*B$10</f>
        <v>2304</v>
      </c>
      <c r="D4" s="5">
        <f t="shared" ref="D4:D9" si="1">C4/D$10</f>
        <v>28.097560975609756</v>
      </c>
      <c r="E4" s="6">
        <f t="shared" ref="E4:E8" si="2">C4/C$9</f>
        <v>0.20382165605095542</v>
      </c>
    </row>
    <row r="5" spans="1:5" x14ac:dyDescent="0.25">
      <c r="A5" s="2" t="s">
        <v>25</v>
      </c>
      <c r="B5" s="3">
        <v>15</v>
      </c>
      <c r="C5" s="4">
        <f t="shared" si="0"/>
        <v>1080</v>
      </c>
      <c r="D5" s="5">
        <f t="shared" si="1"/>
        <v>13.170731707317072</v>
      </c>
      <c r="E5" s="6">
        <f t="shared" si="2"/>
        <v>9.5541401273885357E-2</v>
      </c>
    </row>
    <row r="6" spans="1:5" x14ac:dyDescent="0.25">
      <c r="A6" s="2" t="s">
        <v>26</v>
      </c>
      <c r="B6" s="3">
        <v>22</v>
      </c>
      <c r="C6" s="4">
        <f t="shared" si="0"/>
        <v>1584</v>
      </c>
      <c r="D6" s="5">
        <f t="shared" si="1"/>
        <v>19.317073170731707</v>
      </c>
      <c r="E6" s="6">
        <f t="shared" si="2"/>
        <v>0.14012738853503184</v>
      </c>
    </row>
    <row r="7" spans="1:5" x14ac:dyDescent="0.25">
      <c r="A7" s="2" t="s">
        <v>27</v>
      </c>
      <c r="B7" s="3">
        <v>50</v>
      </c>
      <c r="C7" s="4">
        <f t="shared" si="0"/>
        <v>3600</v>
      </c>
      <c r="D7" s="5">
        <f t="shared" si="1"/>
        <v>43.902439024390247</v>
      </c>
      <c r="E7" s="6">
        <f t="shared" si="2"/>
        <v>0.31847133757961782</v>
      </c>
    </row>
    <row r="8" spans="1:5" x14ac:dyDescent="0.25">
      <c r="A8" s="2" t="s">
        <v>28</v>
      </c>
      <c r="B8" s="3">
        <v>20</v>
      </c>
      <c r="C8" s="4">
        <f t="shared" si="0"/>
        <v>1440</v>
      </c>
      <c r="D8" s="5">
        <f t="shared" si="1"/>
        <v>17.560975609756099</v>
      </c>
      <c r="E8" s="6">
        <f t="shared" si="2"/>
        <v>0.12738853503184713</v>
      </c>
    </row>
    <row r="9" spans="1:5" x14ac:dyDescent="0.25">
      <c r="A9" s="2" t="s">
        <v>7</v>
      </c>
      <c r="B9" s="3">
        <v>157</v>
      </c>
      <c r="C9" s="4">
        <f t="shared" si="0"/>
        <v>11304</v>
      </c>
      <c r="D9" s="5">
        <f t="shared" si="1"/>
        <v>137.85365853658536</v>
      </c>
      <c r="E9" s="2"/>
    </row>
    <row r="10" spans="1:5" x14ac:dyDescent="0.25">
      <c r="A10" s="2" t="s">
        <v>29</v>
      </c>
      <c r="B10" s="2">
        <v>72</v>
      </c>
      <c r="C10" s="2"/>
      <c r="D10" s="2">
        <v>82</v>
      </c>
      <c r="E10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2024-01-30T08:46:52Z</dcterms:modified>
</cp:coreProperties>
</file>