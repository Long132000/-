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ИТ\2 семестр\"/>
    </mc:Choice>
  </mc:AlternateContent>
  <xr:revisionPtr revIDLastSave="0" documentId="13_ncr:1_{DE6E6647-A41D-47D6-B530-167E4E9D1353}" xr6:coauthVersionLast="47" xr6:coauthVersionMax="47" xr10:uidLastSave="{00000000-0000-0000-0000-000000000000}"/>
  <bookViews>
    <workbookView xWindow="0" yWindow="2325" windowWidth="21600" windowHeight="11385" activeTab="1" xr2:uid="{00000000-000D-0000-FFFF-FFFF00000000}"/>
  </bookViews>
  <sheets>
    <sheet name="1" sheetId="2" r:id="rId1"/>
    <sheet name="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2" l="1"/>
  <c r="T4" i="2"/>
  <c r="T5" i="2"/>
  <c r="T6" i="2"/>
  <c r="T7" i="2"/>
  <c r="T3" i="2"/>
  <c r="S4" i="2"/>
  <c r="S5" i="2"/>
  <c r="S6" i="2"/>
  <c r="S7" i="2"/>
  <c r="S3" i="2"/>
  <c r="R4" i="2"/>
  <c r="R5" i="2"/>
  <c r="R6" i="2"/>
  <c r="R7" i="2"/>
  <c r="R3" i="2"/>
  <c r="Q4" i="2"/>
  <c r="Q5" i="2"/>
  <c r="Q6" i="2"/>
  <c r="Q7" i="2"/>
  <c r="Q3" i="2"/>
  <c r="P4" i="2"/>
  <c r="P5" i="2"/>
  <c r="P6" i="2"/>
  <c r="P7" i="2"/>
  <c r="P3" i="2"/>
  <c r="O4" i="2"/>
  <c r="O5" i="2"/>
  <c r="O6" i="2"/>
  <c r="O7" i="2"/>
  <c r="O3" i="2"/>
  <c r="N4" i="2"/>
  <c r="N5" i="2"/>
  <c r="N6" i="2"/>
  <c r="N7" i="2"/>
  <c r="N3" i="2"/>
  <c r="M4" i="2"/>
  <c r="M5" i="2"/>
  <c r="M6" i="2"/>
  <c r="M7" i="2"/>
  <c r="M3" i="2"/>
  <c r="L4" i="2"/>
  <c r="L5" i="2"/>
  <c r="L6" i="2"/>
  <c r="L7" i="2"/>
  <c r="L3" i="2"/>
  <c r="Q15" i="1"/>
  <c r="K6" i="2"/>
  <c r="K5" i="2"/>
  <c r="K4" i="2"/>
  <c r="K3" i="2"/>
  <c r="L7" i="1"/>
  <c r="K7" i="1"/>
  <c r="J7" i="1"/>
  <c r="I7" i="1"/>
  <c r="H7" i="1"/>
</calcChain>
</file>

<file path=xl/sharedStrings.xml><?xml version="1.0" encoding="utf-8"?>
<sst xmlns="http://schemas.openxmlformats.org/spreadsheetml/2006/main" count="61" uniqueCount="38">
  <si>
    <t>№</t>
  </si>
  <si>
    <t>Фамилия</t>
  </si>
  <si>
    <t>Почасовая ставка</t>
  </si>
  <si>
    <t>Дни явок</t>
  </si>
  <si>
    <t>Отпуск</t>
  </si>
  <si>
    <t>Болезнь</t>
  </si>
  <si>
    <t>отпуск без оплаты</t>
  </si>
  <si>
    <t>отработано часов</t>
  </si>
  <si>
    <t>Заработано</t>
  </si>
  <si>
    <t>Математика</t>
  </si>
  <si>
    <t>Физика</t>
  </si>
  <si>
    <t>Русский</t>
  </si>
  <si>
    <t>Химия</t>
  </si>
  <si>
    <t>Фи-ра</t>
  </si>
  <si>
    <t>Отличники</t>
  </si>
  <si>
    <t>Хорошисты</t>
  </si>
  <si>
    <t>Хорошисты с 1 четвёркой</t>
  </si>
  <si>
    <t>Троечники с 1 тройкой</t>
  </si>
  <si>
    <t>Двоечники</t>
  </si>
  <si>
    <t>Иванов</t>
  </si>
  <si>
    <t>Петров</t>
  </si>
  <si>
    <t>Никитин</t>
  </si>
  <si>
    <t>Николаева</t>
  </si>
  <si>
    <t>Федосова</t>
  </si>
  <si>
    <t>Осв.</t>
  </si>
  <si>
    <t>да</t>
  </si>
  <si>
    <t>Итого</t>
  </si>
  <si>
    <t>Таель работы сотрудников на неделю</t>
  </si>
  <si>
    <t>Средняя з\п в день</t>
  </si>
  <si>
    <t>Оплата по средней</t>
  </si>
  <si>
    <t>Начислено</t>
  </si>
  <si>
    <t>Проверка</t>
  </si>
  <si>
    <t>о</t>
  </si>
  <si>
    <t>б</t>
  </si>
  <si>
    <t>п</t>
  </si>
  <si>
    <t>н</t>
  </si>
  <si>
    <t>Вы забыли заполнить</t>
  </si>
  <si>
    <t>ячейки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</si>
</sst>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[$₽-419];\-#,##0.00\ [$₽-419]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255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1" xfId="0" applyFill="1" applyBorder="1"/>
    <xf numFmtId="168" fontId="0" fillId="0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41612-3D61-4641-A53D-D47A59A5656D}">
  <dimension ref="A1:T9"/>
  <sheetViews>
    <sheetView workbookViewId="0">
      <selection activeCell="S20" sqref="S20"/>
    </sheetView>
  </sheetViews>
  <sheetFormatPr defaultRowHeight="15" x14ac:dyDescent="0.25"/>
  <cols>
    <col min="1" max="1" width="3.140625" bestFit="1" customWidth="1"/>
    <col min="2" max="2" width="10.85546875" bestFit="1" customWidth="1"/>
    <col min="3" max="3" width="4" bestFit="1" customWidth="1"/>
    <col min="4" max="10" width="2.140625" bestFit="1" customWidth="1"/>
    <col min="11" max="14" width="3.7109375" bestFit="1" customWidth="1"/>
    <col min="15" max="15" width="11" bestFit="1" customWidth="1"/>
    <col min="16" max="18" width="12" bestFit="1" customWidth="1"/>
    <col min="19" max="19" width="13.140625" bestFit="1" customWidth="1"/>
  </cols>
  <sheetData>
    <row r="1" spans="1:20" x14ac:dyDescent="0.25">
      <c r="A1" s="14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5"/>
    </row>
    <row r="2" spans="1:20" ht="99" x14ac:dyDescent="0.25">
      <c r="A2" s="12" t="s">
        <v>0</v>
      </c>
      <c r="B2" s="12" t="s">
        <v>1</v>
      </c>
      <c r="C2" s="8" t="s">
        <v>2</v>
      </c>
      <c r="D2" s="12">
        <v>1</v>
      </c>
      <c r="E2" s="12">
        <v>2</v>
      </c>
      <c r="F2" s="12">
        <v>3</v>
      </c>
      <c r="G2" s="12">
        <v>4</v>
      </c>
      <c r="H2" s="12">
        <v>5</v>
      </c>
      <c r="I2" s="12">
        <v>6</v>
      </c>
      <c r="J2" s="12">
        <v>7</v>
      </c>
      <c r="K2" s="8" t="s">
        <v>3</v>
      </c>
      <c r="L2" s="8" t="s">
        <v>4</v>
      </c>
      <c r="M2" s="8" t="s">
        <v>5</v>
      </c>
      <c r="N2" s="8" t="s">
        <v>6</v>
      </c>
      <c r="O2" s="13" t="s">
        <v>7</v>
      </c>
      <c r="P2" s="8" t="s">
        <v>8</v>
      </c>
      <c r="Q2" s="8" t="s">
        <v>28</v>
      </c>
      <c r="R2" s="8" t="s">
        <v>29</v>
      </c>
      <c r="S2" s="8" t="s">
        <v>30</v>
      </c>
      <c r="T2" s="8" t="s">
        <v>31</v>
      </c>
    </row>
    <row r="3" spans="1:20" x14ac:dyDescent="0.25">
      <c r="A3" s="2">
        <v>1</v>
      </c>
      <c r="B3" s="12" t="s">
        <v>19</v>
      </c>
      <c r="C3" s="2">
        <v>100</v>
      </c>
      <c r="D3" s="3" t="s">
        <v>32</v>
      </c>
      <c r="E3" s="3" t="s">
        <v>32</v>
      </c>
      <c r="F3" s="3">
        <v>8</v>
      </c>
      <c r="G3" s="3">
        <v>8</v>
      </c>
      <c r="H3" s="3" t="s">
        <v>33</v>
      </c>
      <c r="I3" s="3" t="s">
        <v>34</v>
      </c>
      <c r="J3" s="3" t="s">
        <v>34</v>
      </c>
      <c r="K3" s="3">
        <f>COUNT(D3:J3)</f>
        <v>2</v>
      </c>
      <c r="L3" s="3">
        <f>COUNTIF(D3:J3,"о")</f>
        <v>2</v>
      </c>
      <c r="M3" s="3">
        <f>COUNTIF(D3:J3,"б")</f>
        <v>1</v>
      </c>
      <c r="N3" s="3">
        <f>COUNTIF(D3:J3,"п")</f>
        <v>2</v>
      </c>
      <c r="O3" s="3">
        <f>SUM(D3:J3)</f>
        <v>16</v>
      </c>
      <c r="P3" s="17">
        <f>C3*O3</f>
        <v>1600</v>
      </c>
      <c r="Q3" s="17">
        <f>P3/7</f>
        <v>228.57142857142858</v>
      </c>
      <c r="R3" s="17">
        <f>Q3*(L3+M3)</f>
        <v>685.71428571428578</v>
      </c>
      <c r="S3" s="17">
        <f>P3+R3</f>
        <v>2285.7142857142858</v>
      </c>
      <c r="T3" s="16" t="str">
        <f>IF(K3+L3+M3+N3=7,"OK","Ошибка")</f>
        <v>OK</v>
      </c>
    </row>
    <row r="4" spans="1:20" x14ac:dyDescent="0.25">
      <c r="A4" s="2">
        <v>2</v>
      </c>
      <c r="B4" s="12" t="s">
        <v>20</v>
      </c>
      <c r="C4" s="2">
        <v>200</v>
      </c>
      <c r="D4" s="3">
        <v>4</v>
      </c>
      <c r="E4" s="3">
        <v>6</v>
      </c>
      <c r="F4" s="3" t="s">
        <v>33</v>
      </c>
      <c r="G4" s="3" t="s">
        <v>33</v>
      </c>
      <c r="H4" s="3" t="s">
        <v>34</v>
      </c>
      <c r="I4" s="3">
        <v>4</v>
      </c>
      <c r="J4" s="3">
        <v>6</v>
      </c>
      <c r="K4" s="3">
        <f>COUNT(D4:J4)</f>
        <v>4</v>
      </c>
      <c r="L4" s="3">
        <f t="shared" ref="L4:L7" si="0">COUNTIF(D4:J4,"о")</f>
        <v>0</v>
      </c>
      <c r="M4" s="3">
        <f t="shared" ref="M4:M7" si="1">COUNTIF(D4:J4,"б")</f>
        <v>2</v>
      </c>
      <c r="N4" s="3">
        <f t="shared" ref="N4:N7" si="2">COUNTIF(D4:J4,"п")</f>
        <v>1</v>
      </c>
      <c r="O4" s="3">
        <f t="shared" ref="O4:O7" si="3">SUM(D4:J4)</f>
        <v>20</v>
      </c>
      <c r="P4" s="17">
        <f t="shared" ref="P4:P7" si="4">C4*O4</f>
        <v>4000</v>
      </c>
      <c r="Q4" s="17">
        <f t="shared" ref="Q4:Q7" si="5">P4/7</f>
        <v>571.42857142857144</v>
      </c>
      <c r="R4" s="17">
        <f t="shared" ref="R4:R7" si="6">Q4*(L4+M4)</f>
        <v>1142.8571428571429</v>
      </c>
      <c r="S4" s="17">
        <f t="shared" ref="S4:S7" si="7">P4+R4</f>
        <v>5142.8571428571431</v>
      </c>
      <c r="T4" s="16" t="str">
        <f t="shared" ref="T4:T7" si="8">IF(K4+L4+M4+N4=7,"OK","Ошибка")</f>
        <v>OK</v>
      </c>
    </row>
    <row r="5" spans="1:20" x14ac:dyDescent="0.25">
      <c r="A5" s="2">
        <v>3</v>
      </c>
      <c r="B5" s="12" t="s">
        <v>21</v>
      </c>
      <c r="C5" s="2">
        <v>300</v>
      </c>
      <c r="D5" s="3">
        <v>4</v>
      </c>
      <c r="E5" s="3">
        <v>6</v>
      </c>
      <c r="F5" s="3" t="s">
        <v>32</v>
      </c>
      <c r="G5" s="3" t="s">
        <v>32</v>
      </c>
      <c r="H5" s="3">
        <v>4</v>
      </c>
      <c r="I5" s="3">
        <v>8</v>
      </c>
      <c r="J5" s="3">
        <v>8</v>
      </c>
      <c r="K5" s="3">
        <f>COUNT(D5:J5)</f>
        <v>5</v>
      </c>
      <c r="L5" s="3">
        <f t="shared" si="0"/>
        <v>2</v>
      </c>
      <c r="M5" s="3">
        <f t="shared" si="1"/>
        <v>0</v>
      </c>
      <c r="N5" s="3">
        <f t="shared" si="2"/>
        <v>0</v>
      </c>
      <c r="O5" s="3">
        <f t="shared" si="3"/>
        <v>30</v>
      </c>
      <c r="P5" s="17">
        <f t="shared" si="4"/>
        <v>9000</v>
      </c>
      <c r="Q5" s="17">
        <f t="shared" si="5"/>
        <v>1285.7142857142858</v>
      </c>
      <c r="R5" s="17">
        <f t="shared" si="6"/>
        <v>2571.4285714285716</v>
      </c>
      <c r="S5" s="17">
        <f t="shared" si="7"/>
        <v>11571.428571428572</v>
      </c>
      <c r="T5" s="16" t="str">
        <f t="shared" si="8"/>
        <v>OK</v>
      </c>
    </row>
    <row r="6" spans="1:20" x14ac:dyDescent="0.25">
      <c r="A6" s="2">
        <v>4</v>
      </c>
      <c r="B6" s="12" t="s">
        <v>22</v>
      </c>
      <c r="C6" s="2">
        <v>100</v>
      </c>
      <c r="D6" s="3">
        <v>8</v>
      </c>
      <c r="E6" s="3">
        <v>8</v>
      </c>
      <c r="F6" s="3">
        <v>8</v>
      </c>
      <c r="G6" s="3">
        <v>8</v>
      </c>
      <c r="H6" s="3" t="s">
        <v>35</v>
      </c>
      <c r="I6" s="3">
        <v>8</v>
      </c>
      <c r="J6" s="3">
        <v>8</v>
      </c>
      <c r="K6" s="3">
        <f>COUNT(D6:J6)</f>
        <v>6</v>
      </c>
      <c r="L6" s="3">
        <f t="shared" si="0"/>
        <v>0</v>
      </c>
      <c r="M6" s="3">
        <f t="shared" si="1"/>
        <v>0</v>
      </c>
      <c r="N6" s="3">
        <f t="shared" si="2"/>
        <v>0</v>
      </c>
      <c r="O6" s="3">
        <f t="shared" si="3"/>
        <v>48</v>
      </c>
      <c r="P6" s="17">
        <f t="shared" si="4"/>
        <v>4800</v>
      </c>
      <c r="Q6" s="17">
        <f t="shared" si="5"/>
        <v>685.71428571428567</v>
      </c>
      <c r="R6" s="17">
        <f t="shared" si="6"/>
        <v>0</v>
      </c>
      <c r="S6" s="17">
        <f t="shared" si="7"/>
        <v>4800</v>
      </c>
      <c r="T6" s="16" t="str">
        <f t="shared" si="8"/>
        <v>Ошибка</v>
      </c>
    </row>
    <row r="7" spans="1:20" x14ac:dyDescent="0.25">
      <c r="A7" s="2">
        <v>5</v>
      </c>
      <c r="B7" s="12" t="s">
        <v>23</v>
      </c>
      <c r="C7" s="2">
        <v>200</v>
      </c>
      <c r="D7" s="3" t="s">
        <v>32</v>
      </c>
      <c r="E7" s="3"/>
      <c r="F7" s="3"/>
      <c r="G7" s="3"/>
      <c r="H7" s="3" t="s">
        <v>32</v>
      </c>
      <c r="I7" s="3" t="s">
        <v>32</v>
      </c>
      <c r="J7" s="3" t="s">
        <v>32</v>
      </c>
      <c r="K7" s="3">
        <v>0</v>
      </c>
      <c r="L7" s="3">
        <f t="shared" si="0"/>
        <v>4</v>
      </c>
      <c r="M7" s="3">
        <f t="shared" si="1"/>
        <v>0</v>
      </c>
      <c r="N7" s="3">
        <f t="shared" si="2"/>
        <v>0</v>
      </c>
      <c r="O7" s="3">
        <f t="shared" si="3"/>
        <v>0</v>
      </c>
      <c r="P7" s="17">
        <f t="shared" si="4"/>
        <v>0</v>
      </c>
      <c r="Q7" s="17">
        <f t="shared" si="5"/>
        <v>0</v>
      </c>
      <c r="R7" s="17">
        <f t="shared" si="6"/>
        <v>0</v>
      </c>
      <c r="S7" s="17">
        <f t="shared" si="7"/>
        <v>0</v>
      </c>
      <c r="T7" s="16" t="str">
        <f t="shared" si="8"/>
        <v>Ошибка</v>
      </c>
    </row>
    <row r="9" spans="1:20" x14ac:dyDescent="0.25">
      <c r="B9" s="6" t="s">
        <v>36</v>
      </c>
      <c r="C9" s="6"/>
      <c r="E9" s="3">
        <f>COUNTBLANK(D3:J7)</f>
        <v>3</v>
      </c>
      <c r="F9" s="5" t="s">
        <v>37</v>
      </c>
      <c r="G9" s="5"/>
      <c r="H9" s="5"/>
    </row>
  </sheetData>
  <mergeCells count="3">
    <mergeCell ref="A1:T1"/>
    <mergeCell ref="F9:H9"/>
    <mergeCell ref="B9:C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tabSelected="1" workbookViewId="0">
      <selection activeCell="I9" sqref="I9"/>
    </sheetView>
  </sheetViews>
  <sheetFormatPr defaultRowHeight="15" x14ac:dyDescent="0.25"/>
  <cols>
    <col min="1" max="1" width="2" bestFit="1" customWidth="1"/>
    <col min="2" max="2" width="10.85546875" bestFit="1" customWidth="1"/>
    <col min="3" max="6" width="3.7109375" bestFit="1" customWidth="1"/>
    <col min="7" max="7" width="4.85546875" bestFit="1" customWidth="1"/>
    <col min="8" max="8" width="7.42578125" bestFit="1" customWidth="1"/>
    <col min="9" max="9" width="11" bestFit="1" customWidth="1"/>
    <col min="10" max="11" width="7.28515625" bestFit="1" customWidth="1"/>
    <col min="12" max="12" width="7.42578125" bestFit="1" customWidth="1"/>
    <col min="13" max="13" width="3.7109375" bestFit="1" customWidth="1"/>
  </cols>
  <sheetData>
    <row r="1" spans="1:17" ht="129.75" x14ac:dyDescent="0.25">
      <c r="A1" s="7"/>
      <c r="B1" s="8" t="s">
        <v>1</v>
      </c>
      <c r="C1" s="8" t="s">
        <v>9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/>
      <c r="L1" s="8" t="s">
        <v>17</v>
      </c>
      <c r="M1" s="8" t="s">
        <v>18</v>
      </c>
    </row>
    <row r="2" spans="1:17" ht="16.5" x14ac:dyDescent="0.25">
      <c r="A2" s="9">
        <v>1</v>
      </c>
      <c r="B2" s="3" t="s">
        <v>19</v>
      </c>
      <c r="C2" s="10">
        <v>5</v>
      </c>
      <c r="D2" s="9">
        <v>5</v>
      </c>
      <c r="E2" s="9">
        <v>5</v>
      </c>
      <c r="F2" s="9">
        <v>5</v>
      </c>
      <c r="G2" s="9" t="s">
        <v>24</v>
      </c>
      <c r="H2" s="11" t="s">
        <v>25</v>
      </c>
      <c r="I2" s="9"/>
      <c r="J2" s="9"/>
      <c r="K2" s="9"/>
      <c r="L2" s="9"/>
      <c r="M2" s="3"/>
    </row>
    <row r="3" spans="1:17" x14ac:dyDescent="0.25">
      <c r="A3" s="9">
        <v>2</v>
      </c>
      <c r="B3" s="3" t="s">
        <v>20</v>
      </c>
      <c r="C3" s="9">
        <v>5</v>
      </c>
      <c r="D3" s="9">
        <v>4</v>
      </c>
      <c r="E3" s="9">
        <v>5</v>
      </c>
      <c r="F3" s="9">
        <v>5</v>
      </c>
      <c r="G3" s="9">
        <v>5</v>
      </c>
      <c r="H3" s="11"/>
      <c r="I3" s="9" t="s">
        <v>25</v>
      </c>
      <c r="J3" s="9" t="s">
        <v>25</v>
      </c>
      <c r="K3" s="9"/>
      <c r="L3" s="9"/>
      <c r="M3" s="3"/>
    </row>
    <row r="4" spans="1:17" x14ac:dyDescent="0.25">
      <c r="A4" s="9">
        <v>3</v>
      </c>
      <c r="B4" s="3" t="s">
        <v>21</v>
      </c>
      <c r="C4" s="9">
        <v>5</v>
      </c>
      <c r="D4" s="9">
        <v>2</v>
      </c>
      <c r="E4" s="9">
        <v>5</v>
      </c>
      <c r="F4" s="9">
        <v>5</v>
      </c>
      <c r="G4" s="9">
        <v>5</v>
      </c>
      <c r="H4" s="11"/>
      <c r="I4" s="9"/>
      <c r="J4" s="9"/>
      <c r="K4" s="9"/>
      <c r="L4" s="9" t="s">
        <v>25</v>
      </c>
      <c r="M4" s="3"/>
    </row>
    <row r="5" spans="1:17" x14ac:dyDescent="0.25">
      <c r="A5" s="9">
        <v>4</v>
      </c>
      <c r="B5" s="3" t="s">
        <v>22</v>
      </c>
      <c r="C5" s="9">
        <v>4</v>
      </c>
      <c r="D5" s="9">
        <v>4</v>
      </c>
      <c r="E5" s="9">
        <v>3</v>
      </c>
      <c r="F5" s="9">
        <v>4</v>
      </c>
      <c r="G5" s="9">
        <v>4</v>
      </c>
      <c r="H5" s="11"/>
      <c r="I5" s="9"/>
      <c r="J5" s="9"/>
      <c r="K5" s="9" t="s">
        <v>25</v>
      </c>
      <c r="L5" s="9"/>
      <c r="M5" s="3"/>
    </row>
    <row r="6" spans="1:17" x14ac:dyDescent="0.25">
      <c r="A6" s="9">
        <v>5</v>
      </c>
      <c r="B6" s="3" t="s">
        <v>23</v>
      </c>
      <c r="C6" s="9">
        <v>3</v>
      </c>
      <c r="D6" s="9">
        <v>3</v>
      </c>
      <c r="E6" s="9">
        <v>4</v>
      </c>
      <c r="F6" s="9">
        <v>2</v>
      </c>
      <c r="G6" s="9" t="s">
        <v>24</v>
      </c>
      <c r="H6" s="11"/>
      <c r="I6" s="9"/>
      <c r="J6" s="9"/>
      <c r="K6" s="9"/>
      <c r="L6" s="9" t="s">
        <v>25</v>
      </c>
      <c r="M6" s="3"/>
    </row>
    <row r="7" spans="1:17" x14ac:dyDescent="0.25">
      <c r="A7" s="3"/>
      <c r="B7" s="3"/>
      <c r="C7" s="3"/>
      <c r="D7" s="4" t="s">
        <v>26</v>
      </c>
      <c r="E7" s="4"/>
      <c r="F7" s="4"/>
      <c r="G7" s="3"/>
      <c r="H7" s="9">
        <f>COUNTIF(H2:H6,"да")</f>
        <v>1</v>
      </c>
      <c r="I7" s="9">
        <f>COUNTIF(I2:I6,"да")</f>
        <v>1</v>
      </c>
      <c r="J7" s="9">
        <f>COUNTIF(J2:J6,"да")</f>
        <v>1</v>
      </c>
      <c r="K7" s="9">
        <f>COUNTIF(K2:K6,"да")</f>
        <v>1</v>
      </c>
      <c r="L7" s="9">
        <f>COUNTIF(L2:L6,"да")</f>
        <v>2</v>
      </c>
      <c r="M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15" spans="1:17" x14ac:dyDescent="0.25">
      <c r="Q15" t="str">
        <f>IF(MIN(C2=5,D2=5,E2=5,F2=5,G2=5),"да","-")</f>
        <v>-</v>
      </c>
    </row>
    <row r="20" spans="15:15" x14ac:dyDescent="0.25">
      <c r="O20" s="1"/>
    </row>
  </sheetData>
  <mergeCells count="1">
    <mergeCell ref="D7:F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2291921-5</dc:creator>
  <cp:lastModifiedBy>2291921-5</cp:lastModifiedBy>
  <dcterms:created xsi:type="dcterms:W3CDTF">2015-06-05T18:19:34Z</dcterms:created>
  <dcterms:modified xsi:type="dcterms:W3CDTF">2024-03-12T11:30:25Z</dcterms:modified>
</cp:coreProperties>
</file>