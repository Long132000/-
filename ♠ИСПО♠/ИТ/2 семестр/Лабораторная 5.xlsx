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61B33CF3-DBD9-4D96-8655-A8CF5B79D7AA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  <c r="D1" i="1"/>
  <c r="H3" i="1"/>
  <c r="I3" i="1"/>
  <c r="J3" i="1"/>
  <c r="K3" i="1"/>
  <c r="L3" i="1"/>
  <c r="M3" i="1"/>
  <c r="N3" i="1"/>
  <c r="O3" i="1"/>
  <c r="P3" i="1"/>
  <c r="Q3" i="1"/>
  <c r="H4" i="1"/>
  <c r="I4" i="1"/>
  <c r="J4" i="1"/>
  <c r="K4" i="1"/>
  <c r="L4" i="1"/>
  <c r="M4" i="1"/>
  <c r="N4" i="1"/>
  <c r="O4" i="1"/>
  <c r="P4" i="1"/>
  <c r="Q4" i="1"/>
  <c r="H5" i="1"/>
  <c r="I5" i="1"/>
  <c r="J5" i="1"/>
  <c r="K5" i="1"/>
  <c r="L5" i="1"/>
  <c r="M5" i="1"/>
  <c r="N5" i="1"/>
  <c r="O5" i="1"/>
  <c r="P5" i="1"/>
  <c r="Q5" i="1"/>
  <c r="H6" i="1"/>
  <c r="I6" i="1"/>
  <c r="J6" i="1"/>
  <c r="K6" i="1"/>
  <c r="L6" i="1"/>
  <c r="M6" i="1"/>
  <c r="N6" i="1"/>
  <c r="O6" i="1"/>
  <c r="P6" i="1"/>
  <c r="Q6" i="1"/>
  <c r="I2" i="1"/>
  <c r="J2" i="1"/>
  <c r="K2" i="1"/>
  <c r="L2" i="1"/>
  <c r="M2" i="1"/>
  <c r="N2" i="1"/>
  <c r="O2" i="1"/>
  <c r="P2" i="1"/>
  <c r="Q2" i="1"/>
  <c r="H2" i="1"/>
</calcChain>
</file>

<file path=xl/sharedStrings.xml><?xml version="1.0" encoding="utf-8"?>
<sst xmlns="http://schemas.openxmlformats.org/spreadsheetml/2006/main" count="15" uniqueCount="15">
  <si>
    <t>Общий стаж сотрудников</t>
  </si>
  <si>
    <t>№</t>
  </si>
  <si>
    <t>ФИО</t>
  </si>
  <si>
    <t xml:space="preserve">Дата поступления </t>
  </si>
  <si>
    <t xml:space="preserve">Стаж </t>
  </si>
  <si>
    <t>Барбажов Георгий Романович</t>
  </si>
  <si>
    <t>Казачов Князь Георгевич</t>
  </si>
  <si>
    <t>Бреусов Денис Романович</t>
  </si>
  <si>
    <t>Кранова Анастасия Денисовна</t>
  </si>
  <si>
    <t>Никитин Денис Денисович</t>
  </si>
  <si>
    <t>Бондаренко Максим Дмитриевич</t>
  </si>
  <si>
    <t>Латышев Алексей Анатольевч</t>
  </si>
  <si>
    <t>Шилов Аркадий Максимович</t>
  </si>
  <si>
    <t>Назаренко Валерий Андреевич</t>
  </si>
  <si>
    <t>Викол Никита Валерьевич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</si>
</sst>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I8" sqref="I8"/>
    </sheetView>
  </sheetViews>
  <sheetFormatPr defaultRowHeight="15" x14ac:dyDescent="0.25"/>
  <cols>
    <col min="1" max="1" width="3.140625" bestFit="1" customWidth="1"/>
    <col min="2" max="2" width="32.28515625" bestFit="1" customWidth="1"/>
    <col min="3" max="3" width="18.140625" bestFit="1" customWidth="1"/>
    <col min="4" max="4" width="10.140625" bestFit="1" customWidth="1"/>
  </cols>
  <sheetData>
    <row r="1" spans="1:17" x14ac:dyDescent="0.25">
      <c r="A1" s="4" t="s">
        <v>0</v>
      </c>
      <c r="B1" s="5"/>
      <c r="C1" s="6"/>
      <c r="D1" s="2">
        <f ca="1">TODAY()</f>
        <v>45335</v>
      </c>
      <c r="G1" s="3"/>
      <c r="H1" s="3">
        <v>1</v>
      </c>
      <c r="I1" s="3">
        <v>2</v>
      </c>
      <c r="J1" s="3">
        <v>3</v>
      </c>
      <c r="K1" s="3">
        <v>4</v>
      </c>
      <c r="L1" s="3">
        <v>5</v>
      </c>
      <c r="M1" s="3">
        <v>6</v>
      </c>
      <c r="N1" s="3">
        <v>7</v>
      </c>
      <c r="O1" s="3">
        <v>8</v>
      </c>
      <c r="P1" s="3">
        <v>9</v>
      </c>
      <c r="Q1" s="3">
        <v>10</v>
      </c>
    </row>
    <row r="2" spans="1:17" x14ac:dyDescent="0.25">
      <c r="A2" s="1" t="s">
        <v>1</v>
      </c>
      <c r="B2" s="1" t="s">
        <v>2</v>
      </c>
      <c r="C2" s="1" t="s">
        <v>3</v>
      </c>
      <c r="D2" s="1" t="s">
        <v>4</v>
      </c>
      <c r="G2" s="3">
        <v>0</v>
      </c>
      <c r="H2" s="3">
        <f>($G2+H$1)*2.54</f>
        <v>2.54</v>
      </c>
      <c r="I2" s="3">
        <f t="shared" ref="I2:Q6" si="0">($G2+I$1)*2.54</f>
        <v>5.08</v>
      </c>
      <c r="J2" s="3">
        <f t="shared" si="0"/>
        <v>7.62</v>
      </c>
      <c r="K2" s="3">
        <f t="shared" si="0"/>
        <v>10.16</v>
      </c>
      <c r="L2" s="3">
        <f t="shared" si="0"/>
        <v>12.7</v>
      </c>
      <c r="M2" s="3">
        <f t="shared" si="0"/>
        <v>15.24</v>
      </c>
      <c r="N2" s="3">
        <f t="shared" si="0"/>
        <v>17.78</v>
      </c>
      <c r="O2" s="3">
        <f t="shared" si="0"/>
        <v>20.32</v>
      </c>
      <c r="P2" s="3">
        <f t="shared" si="0"/>
        <v>22.86</v>
      </c>
      <c r="Q2" s="3">
        <f t="shared" si="0"/>
        <v>25.4</v>
      </c>
    </row>
    <row r="3" spans="1:17" x14ac:dyDescent="0.25">
      <c r="A3" s="1">
        <v>1</v>
      </c>
      <c r="B3" s="1" t="s">
        <v>5</v>
      </c>
      <c r="C3" s="2">
        <v>43965</v>
      </c>
      <c r="D3" s="1">
        <f ca="1">TRUNC((TODAY()-C3)/365)</f>
        <v>3</v>
      </c>
      <c r="G3" s="3">
        <v>10</v>
      </c>
      <c r="H3" s="3">
        <f>($G3+H$1)*2.54</f>
        <v>27.94</v>
      </c>
      <c r="I3" s="3">
        <f t="shared" si="0"/>
        <v>30.48</v>
      </c>
      <c r="J3" s="3">
        <f t="shared" si="0"/>
        <v>33.020000000000003</v>
      </c>
      <c r="K3" s="3">
        <f t="shared" si="0"/>
        <v>35.56</v>
      </c>
      <c r="L3" s="3">
        <f t="shared" si="0"/>
        <v>38.1</v>
      </c>
      <c r="M3" s="3">
        <f t="shared" si="0"/>
        <v>40.64</v>
      </c>
      <c r="N3" s="3">
        <f t="shared" si="0"/>
        <v>43.18</v>
      </c>
      <c r="O3" s="3">
        <f t="shared" si="0"/>
        <v>45.72</v>
      </c>
      <c r="P3" s="3">
        <f t="shared" si="0"/>
        <v>48.26</v>
      </c>
      <c r="Q3" s="3">
        <f t="shared" si="0"/>
        <v>50.8</v>
      </c>
    </row>
    <row r="4" spans="1:17" x14ac:dyDescent="0.25">
      <c r="A4" s="1">
        <v>2</v>
      </c>
      <c r="B4" s="1" t="s">
        <v>6</v>
      </c>
      <c r="C4" s="2">
        <v>43845</v>
      </c>
      <c r="D4" s="1">
        <f t="shared" ref="D4:D12" ca="1" si="1">TRUNC((TODAY()-C4)/365)</f>
        <v>4</v>
      </c>
      <c r="G4" s="3">
        <v>20</v>
      </c>
      <c r="H4" s="3">
        <f>($G4+H$1)*2.54</f>
        <v>53.34</v>
      </c>
      <c r="I4" s="3">
        <f t="shared" si="0"/>
        <v>55.88</v>
      </c>
      <c r="J4" s="3">
        <f t="shared" si="0"/>
        <v>58.42</v>
      </c>
      <c r="K4" s="3">
        <f t="shared" si="0"/>
        <v>60.96</v>
      </c>
      <c r="L4" s="3">
        <f t="shared" si="0"/>
        <v>63.5</v>
      </c>
      <c r="M4" s="3">
        <f t="shared" si="0"/>
        <v>66.040000000000006</v>
      </c>
      <c r="N4" s="3">
        <f t="shared" si="0"/>
        <v>68.58</v>
      </c>
      <c r="O4" s="3">
        <f t="shared" si="0"/>
        <v>71.12</v>
      </c>
      <c r="P4" s="3">
        <f t="shared" si="0"/>
        <v>73.66</v>
      </c>
      <c r="Q4" s="3">
        <f t="shared" si="0"/>
        <v>76.2</v>
      </c>
    </row>
    <row r="5" spans="1:17" x14ac:dyDescent="0.25">
      <c r="A5" s="1">
        <v>3</v>
      </c>
      <c r="B5" s="1" t="s">
        <v>7</v>
      </c>
      <c r="C5" s="2">
        <v>44537</v>
      </c>
      <c r="D5" s="1">
        <f t="shared" ca="1" si="1"/>
        <v>2</v>
      </c>
      <c r="G5" s="3">
        <v>30</v>
      </c>
      <c r="H5" s="3">
        <f>($G5+H$1)*2.54</f>
        <v>78.739999999999995</v>
      </c>
      <c r="I5" s="3">
        <f t="shared" si="0"/>
        <v>81.28</v>
      </c>
      <c r="J5" s="3">
        <f t="shared" si="0"/>
        <v>83.820000000000007</v>
      </c>
      <c r="K5" s="3">
        <f t="shared" si="0"/>
        <v>86.36</v>
      </c>
      <c r="L5" s="3">
        <f t="shared" si="0"/>
        <v>88.9</v>
      </c>
      <c r="M5" s="3">
        <f t="shared" si="0"/>
        <v>91.44</v>
      </c>
      <c r="N5" s="3">
        <f t="shared" si="0"/>
        <v>93.98</v>
      </c>
      <c r="O5" s="3">
        <f t="shared" si="0"/>
        <v>96.52</v>
      </c>
      <c r="P5" s="3">
        <f t="shared" si="0"/>
        <v>99.06</v>
      </c>
      <c r="Q5" s="3">
        <f t="shared" si="0"/>
        <v>101.6</v>
      </c>
    </row>
    <row r="6" spans="1:17" x14ac:dyDescent="0.25">
      <c r="A6" s="1">
        <v>4</v>
      </c>
      <c r="B6" s="1" t="s">
        <v>8</v>
      </c>
      <c r="C6" s="2">
        <v>43634</v>
      </c>
      <c r="D6" s="1">
        <f t="shared" ca="1" si="1"/>
        <v>4</v>
      </c>
      <c r="G6" s="3">
        <v>40</v>
      </c>
      <c r="H6" s="3">
        <f>($G6+H$1)*2.54</f>
        <v>104.14</v>
      </c>
      <c r="I6" s="3">
        <f t="shared" si="0"/>
        <v>106.68</v>
      </c>
      <c r="J6" s="3">
        <f t="shared" si="0"/>
        <v>109.22</v>
      </c>
      <c r="K6" s="3">
        <f t="shared" si="0"/>
        <v>111.76</v>
      </c>
      <c r="L6" s="3">
        <f t="shared" si="0"/>
        <v>114.3</v>
      </c>
      <c r="M6" s="3">
        <f t="shared" si="0"/>
        <v>116.84</v>
      </c>
      <c r="N6" s="3">
        <f t="shared" si="0"/>
        <v>119.38</v>
      </c>
      <c r="O6" s="3">
        <f t="shared" si="0"/>
        <v>121.92</v>
      </c>
      <c r="P6" s="3">
        <f t="shared" si="0"/>
        <v>124.46000000000001</v>
      </c>
      <c r="Q6" s="3">
        <f t="shared" si="0"/>
        <v>127</v>
      </c>
    </row>
    <row r="7" spans="1:17" x14ac:dyDescent="0.25">
      <c r="A7" s="1">
        <v>5</v>
      </c>
      <c r="B7" s="1" t="s">
        <v>9</v>
      </c>
      <c r="C7" s="2">
        <v>43717</v>
      </c>
      <c r="D7" s="1">
        <f t="shared" ca="1" si="1"/>
        <v>4</v>
      </c>
    </row>
    <row r="8" spans="1:17" x14ac:dyDescent="0.25">
      <c r="A8" s="1">
        <v>6</v>
      </c>
      <c r="B8" s="1" t="s">
        <v>10</v>
      </c>
      <c r="C8" s="2">
        <v>44514</v>
      </c>
      <c r="D8" s="1">
        <f t="shared" ca="1" si="1"/>
        <v>2</v>
      </c>
    </row>
    <row r="9" spans="1:17" x14ac:dyDescent="0.25">
      <c r="A9" s="1">
        <v>7</v>
      </c>
      <c r="B9" s="1" t="s">
        <v>11</v>
      </c>
      <c r="C9" s="2">
        <v>43968</v>
      </c>
      <c r="D9" s="1">
        <f t="shared" ca="1" si="1"/>
        <v>3</v>
      </c>
    </row>
    <row r="10" spans="1:17" x14ac:dyDescent="0.25">
      <c r="A10" s="1">
        <v>8</v>
      </c>
      <c r="B10" s="1" t="s">
        <v>12</v>
      </c>
      <c r="C10" s="2">
        <v>43182</v>
      </c>
      <c r="D10" s="1">
        <f t="shared" ca="1" si="1"/>
        <v>5</v>
      </c>
    </row>
    <row r="11" spans="1:17" x14ac:dyDescent="0.25">
      <c r="A11" s="1">
        <v>9</v>
      </c>
      <c r="B11" s="1" t="s">
        <v>13</v>
      </c>
      <c r="C11" s="2">
        <v>44998</v>
      </c>
      <c r="D11" s="1">
        <f t="shared" ca="1" si="1"/>
        <v>0</v>
      </c>
    </row>
    <row r="12" spans="1:17" x14ac:dyDescent="0.25">
      <c r="A12" s="1">
        <v>10</v>
      </c>
      <c r="B12" s="1" t="s">
        <v>14</v>
      </c>
      <c r="C12" s="2">
        <v>44217</v>
      </c>
      <c r="D12" s="1">
        <f t="shared" ca="1" si="1"/>
        <v>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2024-02-13T11:19:40Z</dcterms:modified>
</cp:coreProperties>
</file>